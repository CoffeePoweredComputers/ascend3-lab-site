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f7bfc4c7024c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3b867323dae4615"/>
    <x:sheet xmlns:r="http://schemas.openxmlformats.org/officeDocument/2006/relationships" name="1 · Structured Abstract" sheetId="2" r:id="R34745ba31b314874"/>
    <x:sheet xmlns:r="http://schemas.openxmlformats.org/officeDocument/2006/relationships" name="2 · Timeline" sheetId="3" r:id="R9b1614cc0bf842d9"/>
    <x:sheet xmlns:r="http://schemas.openxmlformats.org/officeDocument/2006/relationships" name="3 · Status Tracking" sheetId="4" r:id="R58348cb7891143b0"/>
  </x:sheets>
</x:workbook>
</file>

<file path=xl/comments1.xml><?xml version="1.0" encoding="utf-8"?>
<x:comments xmlns:x="http://schemas.openxmlformats.org/spreadsheetml/2006/main">
  <x:authors>
    <x:author>Comment</x:author>
  </x:authors>
  <x:commentList>
    <x:comment ref="C9" authorId="0">
      <x:text>
        <x:r>
          <x:t>A student project runs at most a year — this defaults to start + 12 months. Overwrite it with your real deadline; every countdown below follows it.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<x:sst xmlns:x="http://schemas.openxmlformats.org/spreadsheetml/2006/main">
  <x:si>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⛰  Ascend³  ·  Project Dashboard</x:t>
  </x:si>
  <x:si>
    <x:t xml:space="preserve">Computing-education research · Virginia Tech </x:t>
  </x:si>
  <x:si>
    <x:t xml:space="preserve">&gt; PROJECT SETUP_</x:t>
  </x:si>
  <x:si>
    <x:t xml:space="preserve">Project title</x:t>
  </x:si>
  <x:si>
    <x:t xml:space="preserve">[ your project ]</x:t>
  </x:si>
  <x:si>
    <x:t xml:space="preserve">Student / owner</x:t>
  </x:si>
  <x:si>
    <x:t xml:space="preserve">[ your name ]</x:t>
  </x:si>
  <x:si>
    <x:t xml:space="preserve">Start date</x:t>
  </x:si>
  <x:si>
    <x:t xml:space="preserve">&lt;- replace with static start date</x:t>
  </x:si>
  <x:si>
    <x:t xml:space="preserve">Target finish (defense / submission)</x:t>
  </x:si>
  <x:si>
    <x:t xml:space="preserve">&lt;- replace with static end date</x:t>
  </x:si>
  <x:si>
    <x:t xml:space="preserve">&gt; ALTITUDE CHECK_  (auto-updates every time you open the file)</x:t>
  </x:si>
  <x:si>
    <x:t xml:space="preserve">WEEKS TO SUMMIT</x:t>
  </x:si>
  <x:si>
    <x:t xml:space="preserve">MONTH OF THE CLIMB</x:t>
  </x:si>
  <x:si>
    <x:t xml:space="preserve">ELAPSED</x:t>
  </x:si>
  <x:si>
    <x:t xml:space="preserve">TASKS DONE</x:t>
  </x:si>
  <x:si>
    <x:t xml:space="preserve">IN "DOING"</x:t>
  </x:si>
  <x:si>
    <x:t xml:space="preserve">BLOCKED</x:t>
  </x:si>
  <x:si>
    <x:t xml:space="preserve">Progress</x:t>
  </x:si>
  <x:si>
    <x:t xml:space="preserve">&gt; PHASES  (the four Ascend flags)_</x:t>
  </x:si>
  <x:si>
    <x:t xml:space="preserve">Phase 1 · Setup &amp; IRB</x:t>
  </x:si>
  <x:si>
    <x:t xml:space="preserve">Phase 2 · Data collection</x:t>
  </x:si>
  <x:si>
    <x:t xml:space="preserve">Phase 3 · Analysis</x:t>
  </x:si>
  <x:si>
    <x:t xml:space="preserve">Phase 4 · Writing &amp; submission</x:t>
  </x:si>
  <x:si>
    <x:t xml:space="preserve">◆ / ▲</x:t>
  </x:si>
  <x:si>
    <x:t xml:space="preserve">◆ milestone / deliverable    ▲ go / no-go decision    (red = deadline)</x:t>
  </x:si>
  <x:si>
    <x:t xml:space="preserve">&gt; HOW TO USE THIS WORKBOOK_</x:t>
  </x:si>
  <x:si>
    <x:t xml:space="preserve">1.  Fill PROJECT SETUP above — everything else keys off your Start date and Target finish.</x:t>
  </x:si>
  <x:si>
    <x:t xml:space="preserve">2.  Tab 1 · Abstract — write it BEFORE you run the study. If a null result would teach nothing, the design flag turns red.</x:t>
  </x:si>
  <x:si>
    <x:t xml:space="preserve">4.  Tab 3 · Status — update it before every 1:1. The board colours itself and feeds the dashboard above.</x:t>
  </x:si>
  <x:si>
    <x:t xml:space="preserve">Lab wiki:</x:t>
  </x:si>
  <x:si>
    <x:t xml:space="preserve">/wiki/project-management</x:t>
  </x:si>
  <x:si>
    <x:t xml:space="preserve">Edit the cells shaded blue.  Everything else is computed for you.</x:t>
  </x:si>
  <x:si>
    <x:t xml:space="preserve">⛰  Structured Abstract  ·  write it BEFORE you run the study</x:t>
  </x:si>
  <x:si>
    <x:t xml:space="preserve">Owner</x:t>
  </x:si>
  <x:si>
    <x:t xml:space="preserve">Dana S.  (example)</x:t>
  </x:si>
  <x:si>
    <x:t xml:space="preserve">Last updated</x:t>
  </x:si>
  <x:si>
    <x:t xml:space="preserve">[ date ]</x:t>
  </x:si>
  <x:si>
    <x:t xml:space="preserve">Version</x:t>
  </x:si>
  <x:si>
    <x:t xml:space="preserve">v3</x:t>
  </x:si>
  <x:si>
    <x:t xml:space="preserve">v1</x:t>
  </x:si>
  <x:si>
    <x:t xml:space="preserve">Section</x:t>
  </x:si>
  <x:si>
    <x:t xml:space="preserve">Example — CS1 debugging-prompt study (Delete)</x:t>
  </x:si>
  <x:si>
    <x:t xml:space="preserve">Your entry</x:t>
  </x:si>
  <x:si>
    <x:t xml:space="preserve">Title</x:t>
  </x:si>
  <x:si>
    <x:t xml:space="preserve">Metacognitive debugging prompts in CS1</x:t>
  </x:si>
  <x:si>
    <x:t xml:space="preserve">Background &amp; context</x:t>
  </x:si>
  <x:si>
    <x:t xml:space="preserve">CS1 students rarely ask for help while debugging, and when they do it is often too late. Reflective prompts might change that.</x:t>
  </x:si>
  <x:si>
    <x:t xml:space="preserve">Objective / research question</x:t>
  </x:si>
  <x:si>
    <x:t xml:space="preserve">Does a "what have you already tried?" prompt change how intro-CS students seek help while debugging?</x:t>
  </x:si>
  <x:si>
    <x:t xml:space="preserve">Methods — Design</x:t>
  </x:si>
  <x:si>
    <x:t xml:space="preserve">Convergent mixed methods: a quasi-experiment across two CS1 sections + follow-up interviews.</x:t>
  </x:si>
  <x:si>
    <x:t xml:space="preserve">Methods — Sample &amp; recruitment</x:t>
  </x:si>
  <x:si>
    <x:t xml:space="preserve">~120 students across two sections; 12 students interviewed (purposive).</x:t>
  </x:si>
  <x:si>
    <x:t xml:space="preserve">Methods — Measures / data sources</x:t>
  </x:si>
  <x:si>
    <x:t xml:space="preserve">IDE help-request events; 30-min semi-structured interviews.</x:t>
  </x:si>
  <x:si>
    <x:t xml:space="preserve">Methods — Analysis plan (qual / quant / mixed + integration)</x:t>
  </x:si>
  <x:si>
    <x:t xml:space="preserve">Logistic regression on help-request rate + reflexive thematic analysis of interviews, joined in a joint display. Sequence + integration decided now.</x:t>
  </x:si>
  <x:si>
    <x:t xml:space="preserve">Expected contribution  (replaces "Results")</x:t>
  </x:si>
  <x:si>
    <x:t xml:space="preserve">A reusable CS1 lab-design guideline about reflective prompts.</x:t>
  </x:si>
  <x:si>
    <x:t xml:space="preserve">Impact if results are POSITIVE</x:t>
  </x:si>
  <x:si>
    <x:t xml:space="preserve">Prompt raises productive help-seeking → ship the guideline + the prompt wording.</x:t>
  </x:si>
  <x:si>
    <x:t xml:space="preserve">Impact if results are NEGATIVE</x:t>
  </x:si>
  <x:si>
    <x:t xml:space="preserve">No change in the rate — but interviews explain WHY students route around the prompt (reads as a gate, not an offer): a CS-ed contribution + redesign brief.</x:t>
  </x:si>
  <x:si>
    <x:t xml:space="preserve">Robust to outcome?  (Y / N)</x:t>
  </x:si>
  <x:si>
    <x:t xml:space="preserve">Y</x:t>
  </x:si>
  <x:si>
    <x:t xml:space="preserve">Qualitative strand?  (Y / N + method)</x:t>
  </x:si>
  <x:si>
    <x:t xml:space="preserve">Y — reflexive thematic analysis</x:t>
  </x:si>
  <x:si>
    <x:t xml:space="preserve">Pre-registered / Registered Report?  (link + stage)</x:t>
  </x:si>
  <x:si>
    <x:t xml:space="preserve">osf.io/xxxxx  (pre-registered, Stage 1)</x:t>
  </x:si>
  <x:si>
    <x:t xml:space="preserve">Design robustness — auto</x:t>
  </x:si>
  <x:si>
    <x:t xml:space="preserve">How to use this tab: fill column C top-down. If "Impact if results are NEGATIVE" is blank the design is fragile (the flag turns red) — revise the question until a null result still teaches something. Deep guidance: /wiki/project-management/scope</x:t>
  </x:si>
  <x:si>
    <x:t xml:space="preserve">▼ EXAMPLE — CS1 debugging-prompt study (1-year MS). Build yours in the BLANK template below.</x:t>
  </x:si>
  <x:si>
    <x:t xml:space="preserve">Task / subtask</x:t>
  </x:si>
  <x:si>
    <x:t xml:space="preserve">Depends-on</x:t>
  </x:si>
  <x:si>
    <x:t xml:space="preserve">Buffer (wks)</x:t>
  </x:si>
  <x:si>
    <x:t xml:space="preserve">Type</x:t>
  </x:si>
  <x:si>
    <x:t xml:space="preserve">month →</x:t>
  </x:si>
  <x:si>
    <x:t xml:space="preserve">Aim 1 — Setup &amp; IRB</x:t>
  </x:si>
  <x:si>
    <x:t xml:space="preserve">Draft &amp; submit IRB protocol</x:t>
  </x:si>
  <x:si>
    <x:t xml:space="preserve">Dana</x:t>
  </x:si>
  <x:si>
    <x:t xml:space="preserve">—</x:t>
  </x:si>
  <x:si>
    <x:t xml:space="preserve">milestone</x:t>
  </x:si>
  <x:si>
    <x:t xml:space="preserve">IRB</x:t>
  </x:si>
  <x:si>
    <x:t xml:space="preserve">IRB approved</x:t>
  </x:si>
  <x:si>
    <x:t xml:space="preserve">protocol</x:t>
  </x:si>
  <x:si>
    <x:t xml:space="preserve">◆</x:t>
  </x:si>
  <x:si>
    <x:t xml:space="preserve">Recruit &amp; consent</x:t>
  </x:si>
  <x:si>
    <x:t xml:space="preserve">task</x:t>
  </x:si>
  <x:si>
    <x:t xml:space="preserve">Aim 2 — Data collection</x:t>
  </x:si>
  <x:si>
    <x:t xml:space="preserve">Collect IDE logs + interviews</x:t>
  </x:si>
  <x:si>
    <x:t xml:space="preserve">recruiting</x:t>
  </x:si>
  <x:si>
    <x:t xml:space="preserve">Go / no-go after pilot</x:t>
  </x:si>
  <x:si>
    <x:t xml:space="preserve">Team</x:t>
  </x:si>
  <x:si>
    <x:t xml:space="preserve">pilot data</x:t>
  </x:si>
  <x:si>
    <x:t xml:space="preserve">decision</x:t>
  </x:si>
  <x:si>
    <x:t xml:space="preserve">▲</x:t>
  </x:si>
  <x:si>
    <x:t xml:space="preserve">Aim 3 — Analysis</x:t>
  </x:si>
  <x:si>
    <x:t xml:space="preserve">Analysis (qual + quant) + joint display</x:t>
  </x:si>
  <x:si>
    <x:t xml:space="preserve">data complete</x:t>
  </x:si>
  <x:si>
    <x:t xml:space="preserve">Writing &amp; submission</x:t>
  </x:si>
  <x:si>
    <x:t xml:space="preserve">Draft + submit before defense</x:t>
  </x:si>
  <x:si>
    <x:t xml:space="preserve">analysis</x:t>
  </x:si>
  <x:si>
    <x:t xml:space="preserve">deadline</x:t>
  </x:si>
  <x:si>
    <x:t xml:space="preserve">Defense</x:t>
  </x:si>
  <x:si>
    <x:t xml:space="preserve">Committee</x:t>
  </x:si>
  <x:si>
    <x:t xml:space="preserve">submission</x:t>
  </x:si>
  <x:si>
    <x:t xml:space="preserve">Legend</x:t>
  </x:si>
  <x:si>
    <x:t xml:space="preserve">Phase 1 — setup / IRB</x:t>
  </x:si>
  <x:si>
    <x:t xml:space="preserve">Phase 2 — data collection</x:t>
  </x:si>
  <x:si>
    <x:t xml:space="preserve">Phase 3 — analysis</x:t>
  </x:si>
  <x:si>
    <x:t xml:space="preserve">Phase 4 — writing &amp; submission</x:t>
  </x:si>
  <x:si>
    <x:t xml:space="preserve">◆ ▲</x:t>
  </x:si>
  <x:si>
    <x:t xml:space="preserve">◆ = milestone / deliverable    ▲ = go/no-go decision    ·    "Buffer (wks)" = named slack per phase</x:t>
  </x:si>
  <x:si>
    <x:t xml:space="preserve">▼ BLANK TEMPLATE — fill this in for your project.</x:t>
  </x:si>
  <x:si>
    <x:t xml:space="preserve">Milestones (◆) / decisions (▲)</x:t>
  </x:si>
  <x:si>
    <x:t xml:space="preserve">⛰  Status Tracking  ·  update it BEFORE your 1:1</x:t>
  </x:si>
  <x:si>
    <x:t xml:space="preserve">Owner:</x:t>
  </x:si>
  <x:si>
    <x:t xml:space="preserve">Last updated:</x:t>
  </x:si>
  <x:si>
    <x:t xml:space="preserve">SECTION A · Task board — WIP limit: keep 2–3 tasks in "Doing"</x:t>
  </x:si>
  <x:si>
    <x:t xml:space="preserve">In "Doing" now:</x:t>
  </x:si>
  <x:si>
    <x:t xml:space="preserve">Task</x:t>
  </x:si>
  <x:si>
    <x:t xml:space="preserve">Status</x:t>
  </x:si>
  <x:si>
    <x:t xml:space="preserve">Priority</x:t>
  </x:si>
  <x:si>
    <x:t xml:space="preserve">Definition of Done</x:t>
  </x:si>
  <x:si>
    <x:t xml:space="preserve">Blocker</x:t>
  </x:si>
  <x:si>
    <x:t xml:space="preserve">Reproduce Figure 2 pipeline</x:t>
  </x:si>
  <x:si>
    <x:t xml:space="preserve">Doing</x:t>
  </x:si>
  <x:si>
    <x:t xml:space="preserve">High</x:t>
  </x:si>
  <x:si>
    <x:t xml:space="preserve">Script regenerates the figure from raw CSV in one run</x:t>
  </x:si>
  <x:si>
    <x:t xml:space="preserve">waiting on cleaned data</x:t>
  </x:si>
  <x:si>
    <x:t xml:space="preserve">Code 12 interview transcripts</x:t>
  </x:si>
  <x:si>
    <x:t xml:space="preserve">All transcripts first-cycle coded in the codebook</x:t>
  </x:si>
  <x:si>
    <x:t xml:space="preserve">Draft methods section</x:t>
  </x:si>
  <x:si>
    <x:t xml:space="preserve">Backlog</x:t>
  </x:si>
  <x:si>
    <x:t xml:space="preserve">Med</x:t>
  </x:si>
  <x:si>
    <x:t xml:space="preserve">Shared with advisor for review</x:t>
  </x:si>
  <x:si>
    <x:t xml:space="preserve">SECTION B · Weekly + 1:1 log — write 4 lines every week (Tried / Learned / Decided / Next)</x:t>
  </x:si>
  <x:si>
    <x:t xml:space="preserve">Date</x:t>
  </x:si>
  <x:si>
    <x:t xml:space="preserve">Week / Sprint #</x:t>
  </x:si>
  <x:si>
    <x:t xml:space="preserve">One-line status</x:t>
  </x:si>
  <x:si>
    <x:t xml:space="preserve">Did (since last)</x:t>
  </x:si>
  <x:si>
    <x:t xml:space="preserve">Blockers</x:t>
  </x:si>
  <x:si>
    <x:t xml:space="preserve">Next actions (owner + due)</x:t>
  </x:si>
  <x:si>
    <x:t xml:space="preserve">Advisor decisions</x:t>
  </x:si>
  <x:si>
    <x:t xml:space="preserve">Wk 3</x:t>
  </x:si>
  <x:si>
    <x:t xml:space="preserve">On track</x:t>
  </x:si>
  <x:si>
    <x:t xml:space="preserve">Coded 8 transcripts; drafted methods</x:t>
  </x:si>
  <x:si>
    <x:t xml:space="preserve">Recruitment slow (6/12)</x:t>
  </x:si>
  <x:si>
    <x:t xml:space="preserve">Email dept listserv by 7/17 (Dana)</x:t>
  </x:si>
  <x:si>
    <x:t xml:space="preserve">Extend recruiting 2 wks; start analysis on the pilot set</x:t>
  </x:si>
  <x:si>
    <x:t xml:space="preserve">Close the loop: send a 3–6 bullet decision summary within ~24h of each 1:1. Deep guidance: /wiki/project-management/status-tracking</x:t>
  </x:si>
</x:sst>
</file>

<file path=xl/styles.xml><?xml version="1.0" encoding="utf-8"?>
<x:styleSheet xmlns:x="http://schemas.openxmlformats.org/spreadsheetml/2006/main">
  <x:numFmts count="5">
    <x:numFmt numFmtId="164" formatCode="yyyy\-mm\-dd"/>
    <x:numFmt numFmtId="200" formatCode="yyyy-mm-dd"/>
    <x:numFmt numFmtId="201" formatCode="mmm"/>
    <x:numFmt numFmtId="202" formatCode="mmm d, yyyy"/>
    <x:numFmt numFmtId="203" formatCode="mmm yyyy"/>
  </x:numFmts>
  <x:fonts count="31">
    <x:font>
      <x:sz val="11"/>
      <x:color theme="1"/>
      <x:name val="Calibri"/>
    </x:font>
    <x:font>
      <x:b/>
      <x:sz val="13"/>
      <x:color rgb="FFFFFFFF"/>
      <x:name val="Arial"/>
    </x:font>
    <x:font/>
    <x:font>
      <x:b/>
      <x:sz val="11"/>
      <x:color rgb="FF1E293B"/>
      <x:name val="Arial"/>
    </x:font>
    <x:font>
      <x:sz val="10"/>
      <x:color rgb="FF64748B"/>
      <x:name val="Arial"/>
    </x:font>
    <x:font>
      <x:sz val="11"/>
      <x:color rgb="FF1E293B"/>
      <x:name val="Arial"/>
    </x:font>
    <x:font>
      <x:b/>
      <x:sz val="11"/>
      <x:color rgb="FFFFFFFF"/>
      <x:name val="Consolas"/>
    </x:font>
    <x:font>
      <x:b/>
      <x:sz val="11"/>
      <x:color rgb="FF64748B"/>
      <x:name val="Arial"/>
    </x:font>
    <x:font>
      <x:sz val="11"/>
      <x:color rgb="FF64748B"/>
      <x:name val="Arial"/>
    </x:font>
    <x:font>
      <x:b/>
      <x:sz val="11"/>
      <x:color rgb="FFFFFFFF"/>
      <x:name val="Arial"/>
    </x:font>
    <x:font>
      <x:color theme="1"/>
      <x:name val="Calibri"/>
    </x:font>
    <x:font>
      <x:b/>
      <x:sz val="11"/>
      <x:color rgb="FF2E6DE4"/>
      <x:name val="Arial"/>
    </x:font>
    <x:font>
      <x:b/>
      <x:sz val="9"/>
      <x:color rgb="FF64748B"/>
      <x:name val="Arial"/>
    </x:font>
    <x:font>
      <x:b/>
      <x:sz val="11"/>
      <x:color rgb="FF15803D"/>
      <x:name val="Arial"/>
    </x:font>
    <x:font>
      <x:b/>
      <x:sz val="9"/>
      <x:color rgb="FFFFFFFF"/>
      <x:name val="Arial"/>
    </x:font>
    <x:font>
      <x:b/>
      <x:sz val="11"/>
      <x:color rgb="FFDC2626"/>
      <x:name val="Arial"/>
    </x:font>
    <x:font>
      <x:b/>
      <x:sz val="20"/>
      <x:color rgb="FF2E6DE4"/>
      <x:name val="Arial"/>
    </x:font>
    <x:font>
      <x:b/>
      <x:sz val="20"/>
      <x:color rgb="FF1B2A4A"/>
      <x:name val="Arial"/>
    </x:font>
    <x:font>
      <x:b/>
      <x:sz val="20"/>
      <x:color rgb="FF7C3AED"/>
      <x:name val="Arial"/>
    </x:font>
    <x:font>
      <x:b/>
      <x:sz val="20"/>
      <x:color rgb="FF16A34A"/>
      <x:name val="Arial"/>
    </x:font>
    <x:font>
      <x:i/>
      <x:sz val="9"/>
      <x:color rgb="FF64748B"/>
      <x:name val="Arial"/>
    </x:font>
    <x:font>
      <x:b/>
      <x:sz val="20"/>
      <x:color rgb="FFD97706"/>
      <x:name val="Arial"/>
    </x:font>
    <x:font>
      <x:b/>
      <x:sz val="20"/>
      <x:color rgb="FFDC2626"/>
      <x:name val="Arial"/>
    </x:font>
    <x:font>
      <x:sz val="8"/>
      <x:color rgb="FF64748B"/>
      <x:name val="Arial"/>
    </x:font>
    <x:font>
      <x:b/>
      <x:sz val="10"/>
      <x:color rgb="FF64748B"/>
      <x:name val="Arial"/>
    </x:font>
    <x:font>
      <x:sz val="9"/>
      <x:color rgb="FF64748B"/>
      <x:name val="Arial"/>
    </x:font>
    <x:font>
      <x:sz val="11"/>
      <x:color rgb="FF2E6DE4"/>
      <x:name val="Consolas"/>
    </x:font>
    <x:font>
      <x:b/>
      <x:sz val="12"/>
      <x:color rgb="FF1B2A4A"/>
      <x:name val="Arial"/>
    </x:font>
    <x:font>
      <x:b/>
      <x:sz val="12"/>
      <x:color rgb="FFDC2626"/>
      <x:name val="Arial"/>
    </x:font>
    <x:font>
      <x:sz val="11"/>
      <x:color rgb="FF2E6DE4"/>
      <x:name val="Arial"/>
    </x:font>
    <x:font>
      <x:i/>
      <x:sz val="11"/>
      <x:color rgb="FF64748B"/>
      <x:name val="Arial"/>
    </x:font>
  </x:fonts>
  <x:fills count="15">
    <x:fill>
      <x:patternFill patternType="none"/>
    </x:fill>
    <x:fill>
      <x:patternFill patternType="lightGray"/>
    </x:fill>
    <x:fill>
      <x:patternFill patternType="solid">
        <x:fgColor rgb="FF1B2A4A"/>
      </x:patternFill>
    </x:fill>
    <x:fill>
      <x:patternFill patternType="solid">
        <x:fgColor rgb="FFE9F1FE"/>
      </x:patternFill>
    </x:fill>
    <x:fill>
      <x:patternFill patternType="solid">
        <x:fgColor rgb="FF2E6DE4"/>
      </x:patternFill>
    </x:fill>
    <x:fill>
      <x:patternFill patternType="solid">
        <x:fgColor rgb="FFF5F8FC"/>
      </x:patternFill>
    </x:fill>
    <x:fill>
      <x:patternFill patternType="solid">
        <x:fgColor rgb="FFE2E8F0"/>
      </x:patternFill>
    </x:fill>
    <x:fill>
      <x:patternFill patternType="solid">
        <x:fgColor rgb="FF3B82F6"/>
      </x:patternFill>
    </x:fill>
    <x:fill>
      <x:patternFill patternType="solid">
        <x:fgColor rgb="FFDCE7FB"/>
      </x:patternFill>
    </x:fill>
    <x:fill>
      <x:patternFill patternType="solid">
        <x:fgColor rgb="FF16A34A"/>
      </x:patternFill>
    </x:fill>
    <x:fill>
      <x:patternFill patternType="solid">
        <x:fgColor rgb="FFD9F0E0"/>
      </x:patternFill>
    </x:fill>
    <x:fill>
      <x:patternFill patternType="solid">
        <x:fgColor rgb="FF7C3AED"/>
      </x:patternFill>
    </x:fill>
    <x:fill>
      <x:patternFill patternType="solid">
        <x:fgColor rgb="FFE9E1FB"/>
      </x:patternFill>
    </x:fill>
    <x:fill>
      <x:patternFill patternType="solid">
        <x:fgColor rgb="FFD97706"/>
      </x:patternFill>
    </x:fill>
    <x:fill>
      <x:patternFill patternType="solid">
        <x:fgColor rgb="FFFBEBD5"/>
      </x:patternFill>
    </x:fill>
  </x:fills>
  <x:borders count="8">
    <x:border/>
    <x:border/>
    <x:border/>
    <x:border/>
    <x:border>
      <x:left style="thin">
        <x:color rgb="FFCDD6E4"/>
      </x:left>
      <x:right style="thin">
        <x:color rgb="FFCDD6E4"/>
      </x:right>
      <x:top style="thin">
        <x:color rgb="FFCDD6E4"/>
      </x:top>
      <x:bottom style="thin">
        <x:color rgb="FFCDD6E4"/>
      </x:bottom>
    </x:border>
    <x:border>
      <x:left style="thin">
        <x:color rgb="FFCDD6E4"/>
      </x:left>
      <x:top style="thin">
        <x:color rgb="FFCDD6E4"/>
      </x:top>
      <x:bottom style="thin">
        <x:color rgb="FFCDD6E4"/>
      </x:bottom>
    </x:border>
    <x:border>
      <x:top style="thin">
        <x:color rgb="FFCDD6E4"/>
      </x:top>
      <x:bottom style="thin">
        <x:color rgb="FFCDD6E4"/>
      </x:bottom>
    </x:border>
    <x:border>
      <x:right style="thin">
        <x:color rgb="FFCDD6E4"/>
      </x:right>
      <x:top style="thin">
        <x:color rgb="FFCDD6E4"/>
      </x:top>
      <x:bottom style="thin">
        <x:color rgb="FFCDD6E4"/>
      </x:bottom>
    </x:border>
  </x:borders>
  <x:cellStyleXfs count="1">
    <x:xf numFmtId="0" fontId="0" fillId="0" borderId="0" applyFont="1" applyAlignment="1"/>
  </x:cellStyleXfs>
  <x:cellXfs count="169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left" vertical="center" wrapText="0"/>
    </x:xf>
    <x:xf numFmtId="0" fontId="1" fillId="2" borderId="1" xfId="0" applyFont="1" applyBorder="1" applyAlignment="1">
      <x:alignment horizontal="left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0" borderId="4" xfId="0" applyFont="1" applyBorder="1" applyAlignment="1">
      <x:alignment horizontal="left" vertical="center" wrapText="0"/>
    </x:xf>
    <x:xf numFmtId="0" fontId="4" fillId="0" borderId="0" xfId="0" applyFont="1" applyAlignment="1">
      <x:alignment horizontal="left" vertical="center" wrapText="0"/>
    </x:xf>
    <x:xf numFmtId="0" fontId="5" fillId="3" borderId="4" xfId="0" applyFont="1" applyFill="1" applyBorder="1" applyAlignment="1">
      <x:alignment horizontal="left" vertical="center" wrapText="0"/>
    </x:xf>
    <x:xf numFmtId="0" fontId="3" fillId="0" borderId="4" xfId="0" applyFont="1" applyBorder="1" applyAlignment="1">
      <x:alignment horizontal="right" vertical="center" wrapText="0"/>
    </x:xf>
    <x:xf numFmtId="0" fontId="6" fillId="4" borderId="5" xfId="0" applyFont="1" applyFill="1" applyBorder="1" applyAlignment="1">
      <x:alignment horizontal="left" vertical="center" wrapText="0"/>
    </x:xf>
    <x:xf numFmtId="0" fontId="7" fillId="0" borderId="0" xfId="0" applyFont="1" applyAlignment="1">
      <x:alignment horizontal="left" vertical="center" wrapText="0"/>
    </x:xf>
    <x:xf numFmtId="0" fontId="2" fillId="0" borderId="6" xfId="0" applyFont="1" applyBorder="1"/>
    <x:xf numFmtId="0" fontId="3" fillId="5" borderId="4" xfId="0" applyFont="1" applyFill="1" applyBorder="1" applyAlignment="1">
      <x:alignment horizontal="left" vertical="center" wrapText="0"/>
    </x:xf>
    <x:xf numFmtId="0" fontId="2" fillId="0" borderId="7" xfId="0" applyFont="1" applyBorder="1"/>
    <x:xf numFmtId="0" fontId="8" fillId="5" borderId="4" xfId="0" applyFont="1" applyBorder="1" applyAlignment="1">
      <x:alignment horizontal="left" vertical="center" wrapText="0"/>
    </x:xf>
    <x:xf numFmtId="0" fontId="9" fillId="4" borderId="5" xfId="0" applyFont="1" applyBorder="1" applyAlignment="1">
      <x:alignment horizontal="right" vertical="center" wrapText="0"/>
    </x:xf>
    <x:xf numFmtId="0" fontId="5" fillId="0" borderId="0" xfId="0" applyFont="1" applyAlignment="1">
      <x:alignment horizontal="left" vertical="center" wrapText="0"/>
    </x:xf>
    <x:xf numFmtId="0" fontId="5" fillId="3" borderId="5" xfId="0" applyFont="1" applyBorder="1" applyAlignment="1">
      <x:alignment horizontal="left" vertical="center" wrapText="0"/>
    </x:xf>
    <x:xf numFmtId="0" fontId="3" fillId="6" borderId="5" xfId="0" applyFont="1" applyFill="1" applyBorder="1" applyAlignment="1">
      <x:alignment horizontal="left" vertical="center" wrapText="0"/>
    </x:xf>
    <x:xf numFmtId="0" fontId="3" fillId="0" borderId="0" xfId="0" applyFont="1" applyAlignment="1">
      <x:alignment horizontal="right" vertical="center" wrapText="0"/>
    </x:xf>
    <x:xf numFmtId="164" fontId="5" fillId="3" borderId="5" xfId="0" applyNumberFormat="1" applyFont="1" applyBorder="1" applyAlignment="1">
      <x:alignment horizontal="center" vertical="center" wrapText="0"/>
    </x:xf>
    <x:xf numFmtId="0" fontId="9" fillId="2" borderId="4" xfId="0" applyFont="1" applyBorder="1" applyAlignment="1">
      <x:alignment horizontal="left" vertical="center" wrapText="0"/>
    </x:xf>
    <x:xf numFmtId="0" fontId="10" fillId="0" borderId="0" xfId="0" applyFont="1" applyAlignment="1"/>
    <x:xf numFmtId="0" fontId="11" fillId="0" borderId="4" xfId="0" applyFont="1" applyBorder="1" applyAlignment="1">
      <x:alignment horizontal="center" vertical="center" wrapText="0"/>
    </x:xf>
    <x:xf numFmtId="0" fontId="9" fillId="2" borderId="4" xfId="0" applyFont="1" applyBorder="1" applyAlignment="1">
      <x:alignment horizontal="left" vertical="center" wrapText="0"/>
    </x:xf>
    <x:xf numFmtId="0" fontId="3" fillId="0" borderId="4" xfId="0" applyFont="1" applyBorder="1" applyAlignment="1">
      <x:alignment horizontal="left" vertical="center" wrapText="1"/>
    </x:xf>
    <x:xf numFmtId="0" fontId="9" fillId="4" borderId="5" xfId="0" applyFont="1" applyBorder="1" applyAlignment="1">
      <x:alignment horizontal="center" vertical="center" wrapText="0"/>
    </x:xf>
    <x:xf numFmtId="0" fontId="3" fillId="5" borderId="4" xfId="0" applyFont="1" applyBorder="1" applyAlignment="1">
      <x:alignment horizontal="left" vertical="top" wrapText="1"/>
    </x:xf>
    <x:xf numFmtId="0" fontId="5" fillId="0" borderId="4" xfId="0" applyFont="1" applyBorder="1" applyAlignment="1">
      <x:alignment horizontal="left" vertical="center" wrapText="0"/>
    </x:xf>
    <x:xf numFmtId="164" fontId="5" fillId="3" borderId="5" xfId="0" applyNumberFormat="1" applyFont="1" applyBorder="1" applyAlignment="1">
      <x:alignment horizontal="center" vertical="center" wrapText="0"/>
    </x:xf>
    <x:xf numFmtId="0" fontId="8" fillId="0" borderId="4" xfId="0" applyFont="1" applyBorder="1" applyAlignment="1">
      <x:alignment horizontal="left" vertical="top" wrapText="1"/>
    </x:xf>
    <x:xf numFmtId="0" fontId="5" fillId="3" borderId="4" xfId="0" applyFont="1" applyBorder="1" applyAlignment="1">
      <x:alignment horizontal="left" vertical="top" wrapText="1"/>
    </x:xf>
    <x:xf numFmtId="0" fontId="5" fillId="0" borderId="4" xfId="0" applyFont="1" applyBorder="1" applyAlignment="1">
      <x:alignment horizontal="center" vertical="center" wrapText="0"/>
    </x:xf>
    <x:xf numFmtId="0" fontId="9" fillId="2" borderId="4" xfId="0" applyFont="1" applyBorder="1" applyAlignment="1">
      <x:alignment horizontal="left" vertical="center" wrapText="1"/>
    </x:xf>
    <x:xf numFmtId="0" fontId="6" fillId="2" borderId="5" xfId="0" applyFont="1" applyBorder="1" applyAlignment="1">
      <x:alignment horizontal="left" vertical="center" wrapText="0"/>
    </x:xf>
    <x:xf numFmtId="0" fontId="8" fillId="0" borderId="4" xfId="0" applyFont="1" applyBorder="1" applyAlignment="1">
      <x:alignment horizontal="left" vertical="center" wrapText="1"/>
    </x:xf>
    <x:xf numFmtId="0" fontId="12" fillId="5" borderId="4" xfId="0" applyFont="1" applyBorder="1" applyAlignment="1">
      <x:alignment horizontal="center" vertical="center" wrapText="0"/>
    </x:xf>
    <x:xf numFmtId="0" fontId="13" fillId="5" borderId="4" xfId="0" applyFont="1" applyBorder="1" applyAlignment="1">
      <x:alignment horizontal="left" vertical="top" wrapText="1"/>
    </x:xf>
    <x:xf numFmtId="0" fontId="14" fillId="2" borderId="4" xfId="0" applyFont="1" applyBorder="1" applyAlignment="1">
      <x:alignment horizontal="center" vertical="center" wrapText="0"/>
    </x:xf>
    <x:xf numFmtId="0" fontId="15" fillId="5" borderId="4" xfId="0" applyFont="1" applyBorder="1" applyAlignment="1">
      <x:alignment horizontal="left" vertical="top" wrapText="1"/>
    </x:xf>
    <x:xf numFmtId="0" fontId="3" fillId="5" borderId="4" xfId="0" applyFont="1" applyBorder="1" applyAlignment="1">
      <x:alignment horizontal="left" vertical="center" wrapText="1"/>
    </x:xf>
    <x:xf numFmtId="1" fontId="16" fillId="5" borderId="4" xfId="0" applyNumberFormat="1" applyFont="1" applyBorder="1" applyAlignment="1">
      <x:alignment horizontal="center" vertical="center" wrapText="0"/>
    </x:xf>
    <x:xf numFmtId="0" fontId="3" fillId="0" borderId="5" xfId="0" applyFont="1" applyBorder="1" applyAlignment="1">
      <x:alignment horizontal="left" vertical="center" wrapText="1"/>
    </x:xf>
    <x:xf numFmtId="0" fontId="17" fillId="5" borderId="4" xfId="0" applyFont="1" applyBorder="1" applyAlignment="1">
      <x:alignment horizontal="center" vertical="center" wrapText="0"/>
    </x:xf>
    <x:xf numFmtId="0" fontId="5" fillId="0" borderId="4" xfId="0" applyFont="1" applyBorder="1" applyAlignment="1">
      <x:alignment horizontal="left" vertical="top" wrapText="1"/>
    </x:xf>
    <x:xf numFmtId="0" fontId="8" fillId="0" borderId="0" xfId="0" applyFont="1" applyAlignment="1">
      <x:alignment horizontal="left" vertical="center" wrapText="1"/>
    </x:xf>
    <x:xf numFmtId="9" fontId="18" fillId="5" borderId="4" xfId="0" applyNumberFormat="1" applyFont="1" applyBorder="1" applyAlignment="1">
      <x:alignment horizontal="center" vertical="center" wrapText="0"/>
    </x:xf>
    <x:xf numFmtId="9" fontId="19" fillId="5" borderId="4" xfId="0" applyNumberFormat="1" applyFont="1" applyBorder="1" applyAlignment="1">
      <x:alignment horizontal="center" vertical="center" wrapText="0"/>
    </x:xf>
    <x:xf numFmtId="0" fontId="20" fillId="5" borderId="4" xfId="0" applyFont="1" applyBorder="1" applyAlignment="1">
      <x:alignment horizontal="left" vertical="center" wrapText="0"/>
    </x:xf>
    <x:xf numFmtId="1" fontId="21" fillId="5" borderId="4" xfId="0" applyNumberFormat="1" applyFont="1" applyBorder="1" applyAlignment="1">
      <x:alignment horizontal="center" vertical="center" wrapText="0"/>
    </x:xf>
    <x:xf numFmtId="0" fontId="5" fillId="5" borderId="4" xfId="0" applyFont="1" applyBorder="1" applyAlignment="1">
      <x:alignment horizontal="left" vertical="center" wrapText="0"/>
    </x:xf>
    <x:xf numFmtId="1" fontId="22" fillId="5" borderId="4" xfId="0" applyNumberFormat="1" applyFont="1" applyBorder="1" applyAlignment="1">
      <x:alignment horizontal="center" vertical="center" wrapText="0"/>
    </x:xf>
    <x:xf numFmtId="0" fontId="23" fillId="5" borderId="4" xfId="0" applyFont="1" applyBorder="1" applyAlignment="1">
      <x:alignment horizontal="center" vertical="center" wrapText="0"/>
    </x:xf>
    <x:xf numFmtId="0" fontId="24" fillId="0" borderId="4" xfId="0" applyFont="1" applyBorder="1" applyAlignment="1">
      <x:alignment horizontal="left" vertical="center" wrapText="0"/>
    </x:xf>
    <x:xf numFmtId="0" fontId="9" fillId="7" borderId="4" xfId="0" applyFont="1" applyFill="1" applyBorder="1" applyAlignment="1">
      <x:alignment horizontal="left" vertical="center" wrapText="0"/>
    </x:xf>
    <x:xf numFmtId="0" fontId="5" fillId="7" borderId="4" xfId="0" applyFont="1" applyBorder="1" applyAlignment="1">
      <x:alignment horizontal="left" vertical="center" wrapText="0"/>
    </x:xf>
    <x:xf numFmtId="0" fontId="8" fillId="0" borderId="4" xfId="0" applyFont="1" applyBorder="1" applyAlignment="1">
      <x:alignment horizontal="center" vertical="center" wrapText="0"/>
    </x:xf>
    <x:xf numFmtId="0" fontId="25" fillId="0" borderId="4" xfId="0" applyFont="1" applyBorder="1" applyAlignment="1">
      <x:alignment horizontal="center" vertical="center" wrapText="0"/>
    </x:xf>
    <x:xf numFmtId="0" fontId="14" fillId="7" borderId="4" xfId="0" applyFont="1" applyBorder="1" applyAlignment="1">
      <x:alignment horizontal="center" vertical="center" wrapText="0"/>
    </x:xf>
    <x:xf numFmtId="0" fontId="26" fillId="0" borderId="5" xfId="0" applyFont="1" applyBorder="1" applyAlignment="1">
      <x:alignment horizontal="left" vertical="center" wrapText="0"/>
    </x:xf>
    <x:xf numFmtId="0" fontId="27" fillId="0" borderId="4" xfId="0" applyFont="1" applyBorder="1" applyAlignment="1">
      <x:alignment horizontal="center" vertical="center" wrapText="0"/>
    </x:xf>
    <x:xf numFmtId="0" fontId="5" fillId="8" borderId="4" xfId="0" applyFont="1" applyFill="1" applyBorder="1" applyAlignment="1">
      <x:alignment horizontal="left" vertical="center" wrapText="0"/>
    </x:xf>
    <x:xf numFmtId="0" fontId="9" fillId="9" borderId="4" xfId="0" applyFont="1" applyFill="1" applyBorder="1" applyAlignment="1">
      <x:alignment horizontal="left" vertical="center" wrapText="0"/>
    </x:xf>
    <x:xf numFmtId="0" fontId="5" fillId="9" borderId="4" xfId="0" applyFont="1" applyBorder="1" applyAlignment="1">
      <x:alignment horizontal="left" vertical="center" wrapText="0"/>
    </x:xf>
    <x:xf numFmtId="0" fontId="3" fillId="8" borderId="5" xfId="0" applyFont="1" applyBorder="1" applyAlignment="1">
      <x:alignment horizontal="left" vertical="center" wrapText="0"/>
    </x:xf>
    <x:xf numFmtId="0" fontId="3" fillId="10" borderId="5" xfId="0" applyFont="1" applyFill="1" applyBorder="1" applyAlignment="1">
      <x:alignment horizontal="left" vertical="center" wrapText="0"/>
    </x:xf>
    <x:xf numFmtId="0" fontId="5" fillId="10" borderId="4" xfId="0" applyFont="1" applyBorder="1" applyAlignment="1">
      <x:alignment horizontal="left" vertical="center" wrapText="0"/>
    </x:xf>
    <x:xf numFmtId="0" fontId="5" fillId="11" borderId="4" xfId="0" applyFont="1" applyFill="1" applyBorder="1" applyAlignment="1">
      <x:alignment horizontal="left" vertical="center" wrapText="0"/>
    </x:xf>
    <x:xf numFmtId="0" fontId="3" fillId="12" borderId="5" xfId="0" applyFont="1" applyFill="1" applyBorder="1" applyAlignment="1">
      <x:alignment horizontal="left" vertical="center" wrapText="0"/>
    </x:xf>
    <x:xf numFmtId="0" fontId="28" fillId="0" borderId="4" xfId="0" applyFont="1" applyBorder="1" applyAlignment="1">
      <x:alignment horizontal="center" vertical="center" wrapText="0"/>
    </x:xf>
    <x:xf numFmtId="0" fontId="5" fillId="13" borderId="4" xfId="0" applyFont="1" applyFill="1" applyBorder="1" applyAlignment="1">
      <x:alignment horizontal="left" vertical="center" wrapText="0"/>
    </x:xf>
    <x:xf numFmtId="0" fontId="9" fillId="11" borderId="4" xfId="0" applyFont="1" applyBorder="1" applyAlignment="1">
      <x:alignment horizontal="left" vertical="center" wrapText="0"/>
    </x:xf>
    <x:xf numFmtId="0" fontId="3" fillId="14" borderId="5" xfId="0" applyFont="1" applyFill="1" applyBorder="1" applyAlignment="1">
      <x:alignment horizontal="left" vertical="center" wrapText="0"/>
    </x:xf>
    <x:xf numFmtId="0" fontId="15" fillId="0" borderId="4" xfId="0" applyFont="1" applyBorder="1" applyAlignment="1">
      <x:alignment horizontal="center" vertical="center" wrapText="0"/>
    </x:xf>
    <x:xf numFmtId="0" fontId="5" fillId="0" borderId="5" xfId="0" applyFont="1" applyBorder="1" applyAlignment="1">
      <x:alignment horizontal="left" vertical="center" wrapText="0"/>
    </x:xf>
    <x:xf numFmtId="0" fontId="5" fillId="12" borderId="4" xfId="0" applyFont="1" applyBorder="1" applyAlignment="1">
      <x:alignment horizontal="left" vertical="center" wrapText="0"/>
    </x:xf>
    <x:xf numFmtId="0" fontId="9" fillId="13" borderId="4" xfId="0" applyFont="1" applyBorder="1" applyAlignment="1">
      <x:alignment horizontal="left" vertical="center" wrapText="0"/>
    </x:xf>
    <x:xf numFmtId="0" fontId="5" fillId="0" borderId="5" xfId="0" applyFont="1" applyBorder="1" applyAlignment="1">
      <x:alignment horizontal="left" vertical="center" wrapText="1"/>
    </x:xf>
    <x:xf numFmtId="0" fontId="5" fillId="14" borderId="4" xfId="0" applyFont="1" applyBorder="1" applyAlignment="1">
      <x:alignment horizontal="left" vertical="center" wrapText="0"/>
    </x:xf>
    <x:xf numFmtId="0" fontId="10" fillId="0" borderId="0" xfId="0" applyFont="1"/>
    <x:xf numFmtId="0" fontId="29" fillId="0" borderId="0" xfId="0" applyFont="1" applyAlignment="1">
      <x:alignment horizontal="left" vertical="center" wrapText="0"/>
    </x:xf>
    <x:xf numFmtId="0" fontId="3" fillId="0" borderId="0" xfId="0" applyFont="1" applyAlignment="1">
      <x:alignment horizontal="left" vertical="center" wrapText="0"/>
    </x:xf>
    <x:xf numFmtId="0" fontId="30" fillId="0" borderId="0" xfId="0" applyFont="1" applyAlignment="1">
      <x:alignment horizontal="left" vertical="center" wrapText="0"/>
    </x:xf>
    <x:xf numFmtId="0" fontId="8" fillId="0" borderId="4" xfId="0" applyFont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vertical="bottom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2" fillId="0" borderId="0" xfId="0" applyNumberFormat="1" applyFont="1" applyFill="1" applyBorder="1"/>
    <x:xf numFmtId="0" fontId="3" fillId="0" borderId="4" xfId="0" applyNumberFormat="1" applyFont="1" applyFill="1" applyBorder="1" applyAlignment="1">
      <x:alignment horizontal="left" vertical="center" wrapText="0"/>
    </x:xf>
    <x:xf numFmtId="0" fontId="4" fillId="0" borderId="0" xfId="0" applyNumberFormat="1" applyFont="1" applyFill="1" applyBorder="1" applyAlignment="1">
      <x:alignment horizontal="left" vertical="center" wrapText="0"/>
    </x:xf>
    <x:xf numFmtId="0" fontId="5" fillId="3" borderId="4" xfId="0" applyNumberFormat="1" applyFont="1" applyFill="1" applyBorder="1" applyAlignment="1">
      <x:alignment horizontal="left" vertical="center" wrapText="0"/>
    </x:xf>
    <x:xf numFmtId="0" fontId="3" fillId="0" borderId="4" xfId="0" applyNumberFormat="1" applyFont="1" applyFill="1" applyBorder="1" applyAlignment="1">
      <x:alignment horizontal="right" vertical="center" wrapText="0"/>
    </x:xf>
    <x:xf numFmtId="0" fontId="6" fillId="4" borderId="5" xfId="0" applyNumberFormat="1" applyFont="1" applyFill="1" applyBorder="1" applyAlignment="1">
      <x:alignment horizontal="left" vertical="center" wrapText="0"/>
    </x:xf>
    <x:xf numFmtId="0" fontId="7" fillId="0" borderId="0" xfId="0" applyNumberFormat="1" applyFont="1" applyFill="1" applyBorder="1" applyAlignment="1">
      <x:alignment horizontal="left" vertical="center" wrapText="0"/>
    </x:xf>
    <x:xf numFmtId="0" fontId="2" fillId="0" borderId="6" xfId="0" applyNumberFormat="1" applyFont="1" applyFill="1" applyBorder="1"/>
    <x:xf numFmtId="0" fontId="3" fillId="5" borderId="4" xfId="0" applyNumberFormat="1" applyFont="1" applyFill="1" applyBorder="1" applyAlignment="1">
      <x:alignment horizontal="left" vertical="center" wrapText="0"/>
    </x:xf>
    <x:xf numFmtId="0" fontId="2" fillId="0" borderId="7" xfId="0" applyNumberFormat="1" applyFont="1" applyFill="1" applyBorder="1"/>
    <x:xf numFmtId="0" fontId="8" fillId="5" borderId="4" xfId="0" applyNumberFormat="1" applyFont="1" applyFill="1" applyBorder="1" applyAlignment="1">
      <x:alignment horizontal="left" vertical="center" wrapText="0"/>
    </x:xf>
    <x:xf numFmtId="0" fontId="9" fillId="4" borderId="5" xfId="0" applyNumberFormat="1" applyFont="1" applyFill="1" applyBorder="1" applyAlignment="1">
      <x:alignment horizontal="right" vertical="center" wrapText="0"/>
    </x:xf>
    <x:xf numFmtId="0" fontId="5" fillId="0" borderId="0" xfId="0" applyNumberFormat="1" applyFont="1" applyFill="1" applyBorder="1" applyAlignment="1">
      <x:alignment horizontal="left" vertical="center" wrapText="0"/>
    </x:xf>
    <x:xf numFmtId="0" fontId="5" fillId="3" borderId="5" xfId="0" applyNumberFormat="1" applyFont="1" applyFill="1" applyBorder="1" applyAlignment="1">
      <x:alignment horizontal="left" vertical="center" wrapText="0"/>
    </x:xf>
    <x:xf numFmtId="0" fontId="3" fillId="6" borderId="5" xfId="0" applyNumberFormat="1" applyFont="1" applyFill="1" applyBorder="1" applyAlignment="1">
      <x:alignment horizontal="left" vertical="center" wrapText="0"/>
    </x:xf>
    <x:xf numFmtId="0" fontId="3" fillId="0" borderId="0" xfId="0" applyNumberFormat="1" applyFont="1" applyFill="1" applyBorder="1" applyAlignment="1">
      <x:alignment horizontal="right" vertical="center" wrapText="0"/>
    </x:xf>
    <x:xf numFmtId="164" fontId="5" fillId="3" borderId="5" xfId="0" applyNumberFormat="1" applyFont="1" applyFill="1" applyBorder="1" applyAlignment="1">
      <x:alignment horizontal="center" vertical="center" wrapText="0"/>
    </x:xf>
    <x:xf numFmtId="0" fontId="9" fillId="2" borderId="4" xfId="0" applyNumberFormat="1" applyFont="1" applyFill="1" applyBorder="1" applyAlignment="1">
      <x:alignment horizontal="left" vertical="center" wrapText="0"/>
    </x:xf>
    <x:xf numFmtId="0" fontId="10" fillId="0" borderId="0" xfId="0" applyNumberFormat="1" applyFont="1" applyFill="1" applyBorder="1"/>
    <x:xf numFmtId="0" fontId="11" fillId="0" borderId="4" xfId="0" applyNumberFormat="1" applyFont="1" applyFill="1" applyBorder="1" applyAlignment="1">
      <x:alignment horizontal="center" vertical="center" wrapText="0"/>
    </x:xf>
    <x:xf numFmtId="0" fontId="3" fillId="0" borderId="4" xfId="0" applyNumberFormat="1" applyFont="1" applyFill="1" applyBorder="1" applyAlignment="1">
      <x:alignment horizontal="left" vertical="center" wrapText="1"/>
    </x:xf>
    <x:xf numFmtId="0" fontId="9" fillId="4" borderId="5" xfId="0" applyNumberFormat="1" applyFont="1" applyFill="1" applyBorder="1" applyAlignment="1">
      <x:alignment horizontal="center" vertical="center" wrapText="0"/>
    </x:xf>
    <x:xf numFmtId="0" fontId="3" fillId="5" borderId="4" xfId="0" applyNumberFormat="1" applyFont="1" applyFill="1" applyBorder="1" applyAlignment="1">
      <x:alignment horizontal="left" vertical="top" wrapText="1"/>
    </x:xf>
    <x:xf numFmtId="0" fontId="5" fillId="0" borderId="4" xfId="0" applyNumberFormat="1" applyFont="1" applyFill="1" applyBorder="1" applyAlignment="1">
      <x:alignment horizontal="left" vertical="center" wrapText="0"/>
    </x:xf>
    <x:xf numFmtId="0" fontId="8" fillId="0" borderId="4" xfId="0" applyNumberFormat="1" applyFont="1" applyFill="1" applyBorder="1" applyAlignment="1">
      <x:alignment horizontal="left" vertical="top" wrapText="1"/>
    </x:xf>
    <x:xf numFmtId="0" fontId="5" fillId="3" borderId="4" xfId="0" applyNumberFormat="1" applyFont="1" applyFill="1" applyBorder="1" applyAlignment="1">
      <x:alignment horizontal="left" vertical="top" wrapText="1"/>
    </x:xf>
    <x:xf numFmtId="0" fontId="5" fillId="0" borderId="4" xfId="0" applyNumberFormat="1" applyFont="1" applyFill="1" applyBorder="1" applyAlignment="1">
      <x:alignment horizontal="center" vertical="center" wrapText="0"/>
    </x:xf>
    <x:xf numFmtId="0" fontId="9" fillId="2" borderId="4" xfId="0" applyNumberFormat="1" applyFont="1" applyFill="1" applyBorder="1" applyAlignment="1">
      <x:alignment horizontal="left" vertical="center" wrapText="1"/>
    </x:xf>
    <x:xf numFmtId="0" fontId="6" fillId="2" borderId="5" xfId="0" applyNumberFormat="1" applyFont="1" applyFill="1" applyBorder="1" applyAlignment="1">
      <x:alignment horizontal="left" vertical="center" wrapText="0"/>
    </x:xf>
    <x:xf numFmtId="0" fontId="8" fillId="0" borderId="4" xfId="0" applyNumberFormat="1" applyFont="1" applyFill="1" applyBorder="1" applyAlignment="1">
      <x:alignment horizontal="left" vertical="center" wrapText="1"/>
    </x:xf>
    <x:xf numFmtId="0" fontId="12" fillId="5" borderId="4" xfId="0" applyNumberFormat="1" applyFont="1" applyFill="1" applyBorder="1" applyAlignment="1">
      <x:alignment horizontal="center" vertical="center" wrapText="0"/>
    </x:xf>
    <x:xf numFmtId="0" fontId="13" fillId="5" borderId="4" xfId="0" applyNumberFormat="1" applyFont="1" applyFill="1" applyBorder="1" applyAlignment="1">
      <x:alignment horizontal="left" vertical="top" wrapText="1"/>
    </x:xf>
    <x:xf numFmtId="0" fontId="14" fillId="2" borderId="4" xfId="0" applyNumberFormat="1" applyFont="1" applyFill="1" applyBorder="1" applyAlignment="1">
      <x:alignment horizontal="center" vertical="center" wrapText="0"/>
    </x:xf>
    <x:xf numFmtId="0" fontId="15" fillId="5" borderId="4" xfId="0" applyNumberFormat="1" applyFont="1" applyFill="1" applyBorder="1" applyAlignment="1">
      <x:alignment horizontal="left" vertical="top" wrapText="1"/>
    </x:xf>
    <x:xf numFmtId="0" fontId="3" fillId="5" borderId="4" xfId="0" applyNumberFormat="1" applyFont="1" applyFill="1" applyBorder="1" applyAlignment="1">
      <x:alignment horizontal="left" vertical="center" wrapText="1"/>
    </x:xf>
    <x:xf numFmtId="1" fontId="16" fillId="5" borderId="4" xfId="0" applyNumberFormat="1" applyFont="1" applyFill="1" applyBorder="1" applyAlignment="1">
      <x:alignment horizontal="center" vertical="center" wrapText="0"/>
    </x:xf>
    <x:xf numFmtId="0" fontId="3" fillId="0" borderId="5" xfId="0" applyNumberFormat="1" applyFont="1" applyFill="1" applyBorder="1" applyAlignment="1">
      <x:alignment horizontal="left" vertical="center" wrapText="1"/>
    </x:xf>
    <x:xf numFmtId="0" fontId="17" fillId="5" borderId="4" xfId="0" applyNumberFormat="1" applyFont="1" applyFill="1" applyBorder="1" applyAlignment="1">
      <x:alignment horizontal="center" vertical="center" wrapText="0"/>
    </x:xf>
    <x:xf numFmtId="0" fontId="5" fillId="0" borderId="4" xfId="0" applyNumberFormat="1" applyFont="1" applyFill="1" applyBorder="1" applyAlignment="1">
      <x:alignment horizontal="left" vertical="top" wrapText="1"/>
    </x:xf>
    <x:xf numFmtId="0" fontId="8" fillId="0" borderId="0" xfId="0" applyNumberFormat="1" applyFont="1" applyFill="1" applyBorder="1" applyAlignment="1">
      <x:alignment horizontal="left" vertical="center" wrapText="1"/>
    </x:xf>
    <x:xf numFmtId="9" fontId="18" fillId="5" borderId="4" xfId="0" applyNumberFormat="1" applyFont="1" applyFill="1" applyBorder="1" applyAlignment="1">
      <x:alignment horizontal="center" vertical="center" wrapText="0"/>
    </x:xf>
    <x:xf numFmtId="9" fontId="19" fillId="5" borderId="4" xfId="0" applyNumberFormat="1" applyFont="1" applyFill="1" applyBorder="1" applyAlignment="1">
      <x:alignment horizontal="center" vertical="center" wrapText="0"/>
    </x:xf>
    <x:xf numFmtId="0" fontId="20" fillId="5" borderId="4" xfId="0" applyNumberFormat="1" applyFont="1" applyFill="1" applyBorder="1" applyAlignment="1">
      <x:alignment horizontal="left" vertical="center" wrapText="0"/>
    </x:xf>
    <x:xf numFmtId="1" fontId="21" fillId="5" borderId="4" xfId="0" applyNumberFormat="1" applyFont="1" applyFill="1" applyBorder="1" applyAlignment="1">
      <x:alignment horizontal="center" vertical="center" wrapText="0"/>
    </x:xf>
    <x:xf numFmtId="0" fontId="5" fillId="5" borderId="4" xfId="0" applyNumberFormat="1" applyFont="1" applyFill="1" applyBorder="1" applyAlignment="1">
      <x:alignment horizontal="left" vertical="center" wrapText="0"/>
    </x:xf>
    <x:xf numFmtId="1" fontId="22" fillId="5" borderId="4" xfId="0" applyNumberFormat="1" applyFont="1" applyFill="1" applyBorder="1" applyAlignment="1">
      <x:alignment horizontal="center" vertical="center" wrapText="0"/>
    </x:xf>
    <x:xf numFmtId="0" fontId="23" fillId="5" borderId="4" xfId="0" applyNumberFormat="1" applyFont="1" applyFill="1" applyBorder="1" applyAlignment="1">
      <x:alignment horizontal="center" vertical="center" wrapText="0"/>
    </x:xf>
    <x:xf numFmtId="0" fontId="24" fillId="0" borderId="4" xfId="0" applyNumberFormat="1" applyFont="1" applyFill="1" applyBorder="1" applyAlignment="1">
      <x:alignment horizontal="left" vertical="center" wrapText="0"/>
    </x:xf>
    <x:xf numFmtId="0" fontId="9" fillId="7" borderId="4" xfId="0" applyNumberFormat="1" applyFont="1" applyFill="1" applyBorder="1" applyAlignment="1">
      <x:alignment horizontal="left" vertical="center" wrapText="0"/>
    </x:xf>
    <x:xf numFmtId="0" fontId="5" fillId="7" borderId="4" xfId="0" applyNumberFormat="1" applyFont="1" applyFill="1" applyBorder="1" applyAlignment="1">
      <x:alignment horizontal="left" vertical="center" wrapText="0"/>
    </x:xf>
    <x:xf numFmtId="0" fontId="8" fillId="0" borderId="4" xfId="0" applyNumberFormat="1" applyFont="1" applyFill="1" applyBorder="1" applyAlignment="1">
      <x:alignment horizontal="center" vertical="center" wrapText="0"/>
    </x:xf>
    <x:xf numFmtId="0" fontId="25" fillId="0" borderId="4" xfId="0" applyNumberFormat="1" applyFont="1" applyFill="1" applyBorder="1" applyAlignment="1">
      <x:alignment horizontal="center" vertical="center" wrapText="0"/>
    </x:xf>
    <x:xf numFmtId="0" fontId="14" fillId="7" borderId="4" xfId="0" applyNumberFormat="1" applyFont="1" applyFill="1" applyBorder="1" applyAlignment="1">
      <x:alignment horizontal="center" vertical="center" wrapText="0"/>
    </x:xf>
    <x:xf numFmtId="0" fontId="26" fillId="0" borderId="5" xfId="0" applyNumberFormat="1" applyFont="1" applyFill="1" applyBorder="1" applyAlignment="1">
      <x:alignment horizontal="left" vertical="center" wrapText="0"/>
    </x:xf>
    <x:xf numFmtId="0" fontId="27" fillId="0" borderId="4" xfId="0" applyNumberFormat="1" applyFont="1" applyFill="1" applyBorder="1" applyAlignment="1">
      <x:alignment horizontal="center" vertical="center" wrapText="0"/>
    </x:xf>
    <x:xf numFmtId="0" fontId="5" fillId="8" borderId="4" xfId="0" applyNumberFormat="1" applyFont="1" applyFill="1" applyBorder="1" applyAlignment="1">
      <x:alignment horizontal="left" vertical="center" wrapText="0"/>
    </x:xf>
    <x:xf numFmtId="0" fontId="9" fillId="9" borderId="4" xfId="0" applyNumberFormat="1" applyFont="1" applyFill="1" applyBorder="1" applyAlignment="1">
      <x:alignment horizontal="left" vertical="center" wrapText="0"/>
    </x:xf>
    <x:xf numFmtId="0" fontId="5" fillId="9" borderId="4" xfId="0" applyNumberFormat="1" applyFont="1" applyFill="1" applyBorder="1" applyAlignment="1">
      <x:alignment horizontal="left" vertical="center" wrapText="0"/>
    </x:xf>
    <x:xf numFmtId="0" fontId="3" fillId="8" borderId="5" xfId="0" applyNumberFormat="1" applyFont="1" applyFill="1" applyBorder="1" applyAlignment="1">
      <x:alignment horizontal="left" vertical="center" wrapText="0"/>
    </x:xf>
    <x:xf numFmtId="0" fontId="3" fillId="10" borderId="5" xfId="0" applyNumberFormat="1" applyFont="1" applyFill="1" applyBorder="1" applyAlignment="1">
      <x:alignment horizontal="left" vertical="center" wrapText="0"/>
    </x:xf>
    <x:xf numFmtId="0" fontId="5" fillId="10" borderId="4" xfId="0" applyNumberFormat="1" applyFont="1" applyFill="1" applyBorder="1" applyAlignment="1">
      <x:alignment horizontal="left" vertical="center" wrapText="0"/>
    </x:xf>
    <x:xf numFmtId="0" fontId="5" fillId="11" borderId="4" xfId="0" applyNumberFormat="1" applyFont="1" applyFill="1" applyBorder="1" applyAlignment="1">
      <x:alignment horizontal="left" vertical="center" wrapText="0"/>
    </x:xf>
    <x:xf numFmtId="0" fontId="3" fillId="12" borderId="5" xfId="0" applyNumberFormat="1" applyFont="1" applyFill="1" applyBorder="1" applyAlignment="1">
      <x:alignment horizontal="left" vertical="center" wrapText="0"/>
    </x:xf>
    <x:xf numFmtId="0" fontId="28" fillId="0" borderId="4" xfId="0" applyNumberFormat="1" applyFont="1" applyFill="1" applyBorder="1" applyAlignment="1">
      <x:alignment horizontal="center" vertical="center" wrapText="0"/>
    </x:xf>
    <x:xf numFmtId="0" fontId="5" fillId="13" borderId="4" xfId="0" applyNumberFormat="1" applyFont="1" applyFill="1" applyBorder="1" applyAlignment="1">
      <x:alignment horizontal="left" vertical="center" wrapText="0"/>
    </x:xf>
    <x:xf numFmtId="0" fontId="9" fillId="11" borderId="4" xfId="0" applyNumberFormat="1" applyFont="1" applyFill="1" applyBorder="1" applyAlignment="1">
      <x:alignment horizontal="left" vertical="center" wrapText="0"/>
    </x:xf>
    <x:xf numFmtId="0" fontId="3" fillId="14" borderId="5" xfId="0" applyNumberFormat="1" applyFont="1" applyFill="1" applyBorder="1" applyAlignment="1">
      <x:alignment horizontal="left" vertical="center" wrapText="0"/>
    </x:xf>
    <x:xf numFmtId="0" fontId="15" fillId="0" borderId="4" xfId="0" applyNumberFormat="1" applyFont="1" applyFill="1" applyBorder="1" applyAlignment="1">
      <x:alignment horizontal="center" vertical="center" wrapText="0"/>
    </x:xf>
    <x:xf numFmtId="0" fontId="5" fillId="0" borderId="5" xfId="0" applyNumberFormat="1" applyFont="1" applyFill="1" applyBorder="1" applyAlignment="1">
      <x:alignment horizontal="left" vertical="center" wrapText="0"/>
    </x:xf>
    <x:xf numFmtId="0" fontId="5" fillId="12" borderId="4" xfId="0" applyNumberFormat="1" applyFont="1" applyFill="1" applyBorder="1" applyAlignment="1">
      <x:alignment horizontal="left" vertical="center" wrapText="0"/>
    </x:xf>
    <x:xf numFmtId="0" fontId="9" fillId="13" borderId="4" xfId="0" applyNumberFormat="1" applyFont="1" applyFill="1" applyBorder="1" applyAlignment="1">
      <x:alignment horizontal="left" vertical="center" wrapText="0"/>
    </x:xf>
    <x:xf numFmtId="0" fontId="5" fillId="0" borderId="5" xfId="0" applyNumberFormat="1" applyFont="1" applyFill="1" applyBorder="1" applyAlignment="1">
      <x:alignment horizontal="left" vertical="center" wrapText="1"/>
    </x:xf>
    <x:xf numFmtId="0" fontId="5" fillId="14" borderId="4" xfId="0" applyNumberFormat="1" applyFont="1" applyFill="1" applyBorder="1" applyAlignment="1">
      <x:alignment horizontal="left" vertical="center" wrapText="0"/>
    </x:xf>
    <x:xf numFmtId="0" fontId="29" fillId="0" borderId="0" xfId="0" applyNumberFormat="1" applyFont="1" applyFill="1" applyBorder="1" applyAlignment="1">
      <x:alignment horizontal="left" vertical="center" wrapText="0"/>
    </x:xf>
    <x:xf numFmtId="0" fontId="3" fillId="0" borderId="0" xfId="0" applyNumberFormat="1" applyFont="1" applyFill="1" applyBorder="1" applyAlignment="1">
      <x:alignment horizontal="left" vertical="center" wrapText="0"/>
    </x:xf>
    <x:xf numFmtId="0" fontId="30" fillId="0" borderId="0" xfId="0" applyNumberFormat="1" applyFont="1" applyFill="1" applyBorder="1" applyAlignment="1">
      <x:alignment horizontal="left" vertical="center" wrapText="0"/>
    </x:xf>
    <x:xf numFmtId="0" fontId="8" fillId="0" borderId="4" xfId="0" applyNumberFormat="1" applyFont="1" applyFill="1" applyBorder="1" applyAlignment="1">
      <x:alignment horizontal="left" vertical="center" wrapText="0"/>
    </x:xf>
    <x:xf numFmtId="200" fontId="5" fillId="3" borderId="5" xfId="0" applyNumberFormat="1" applyFont="1" applyFill="1" applyBorder="1" applyAlignment="1">
      <x:alignment horizontal="center" vertical="center" wrapText="0"/>
    </x:xf>
    <x:xf numFmtId="200" fontId="8" fillId="5" borderId="4" xfId="0" applyNumberFormat="1" applyFont="1" applyFill="1" applyBorder="1" applyAlignment="1">
      <x:alignment horizontal="left" vertical="center" wrapText="0"/>
    </x:xf>
    <x:xf numFmtId="201" fontId="14" fillId="2" borderId="4" xfId="0" applyNumberFormat="1" applyFont="1" applyFill="1" applyBorder="1" applyAlignment="1">
      <x:alignment horizontal="center" vertical="center" wrapText="0"/>
    </x:xf>
    <x:xf numFmtId="200" fontId="8" fillId="0" borderId="4" xfId="0" applyNumberFormat="1" applyFont="1" applyFill="1" applyBorder="1" applyAlignment="1">
      <x:alignment horizontal="left" vertical="top" wrapText="1"/>
    </x:xf>
    <x:xf numFmtId="202" fontId="5" fillId="3" borderId="5" xfId="0" applyNumberFormat="1" applyFont="1" applyFill="1" applyBorder="1" applyAlignment="1">
      <x:alignment horizontal="center" vertical="center" wrapText="0"/>
    </x:xf>
    <x:xf numFmtId="203" fontId="14" fillId="2" borderId="4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5">
    <x:dxf>
      <x:font>
        <x:b/>
        <x:color rgb="FFDC2626"/>
        <x:name val="Arial"/>
      </x:font>
      <x:fill>
        <x:patternFill>
          <x:bgColor rgb="FFFCE2E2"/>
        </x:patternFill>
      </x:fill>
      <x:border/>
    </x:dxf>
    <x:dxf>
      <x:font>
        <x:b/>
        <x:color rgb="FF15803D"/>
        <x:name val="Arial"/>
      </x:font>
      <x:fill>
        <x:patternFill>
          <x:bgColor rgb="FFD9F0E0"/>
        </x:patternFill>
      </x:fill>
      <x:border/>
    </x:dxf>
    <x:dxf>
      <x:font>
        <x:b/>
        <x:color rgb="FFD97706"/>
        <x:name val="Arial"/>
      </x:font>
      <x:fill>
        <x:patternFill>
          <x:bgColor rgb="FFFEF0D9"/>
        </x:patternFill>
      </x:fill>
      <x:border/>
    </x:dxf>
    <x:dxf>
      <x:font>
        <x:b/>
        <x:color rgb="FF64748B"/>
        <x:name val="Arial"/>
      </x:font>
      <x:fill>
        <x:patternFill>
          <x:bgColor rgb="FFEEF2F8"/>
        </x:patternFill>
      </x:fill>
      <x:border/>
    </x:dxf>
    <x:dxf>
      <x:font>
        <x:b/>
        <x:sz val="20"/>
        <x:color rgb="FFDC2626"/>
        <x:name val="Arial"/>
      </x:font>
      <x:fill>
        <x:patternFill>
          <x:bgColor rgb="FFFCE2E2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38057988a04454" /><Relationship Type="http://schemas.openxmlformats.org/officeDocument/2006/relationships/theme" Target="/xl/theme/theme1.xml" Id="R49f5e283d37a4631" /><Relationship Type="http://schemas.openxmlformats.org/officeDocument/2006/relationships/sharedStrings" Target="/xl/sharedStrings.xml" Id="R111e1df7d61f4496" /><Relationship Type="http://schemas.openxmlformats.org/officeDocument/2006/relationships/worksheet" Target="/xl/worksheets/sheet1.xml" Id="Rd3b867323dae4615" /><Relationship Type="http://schemas.openxmlformats.org/officeDocument/2006/relationships/worksheet" Target="/xl/worksheets/sheet2.xml" Id="R34745ba31b314874" /><Relationship Type="http://schemas.openxmlformats.org/officeDocument/2006/relationships/worksheet" Target="/xl/worksheets/sheet3.xml" Id="R9b1614cc0bf842d9" /><Relationship Type="http://schemas.openxmlformats.org/officeDocument/2006/relationships/worksheet" Target="/xl/worksheets/sheet4.xml" Id="R58348cb7891143b0" /><Relationship Type="http://schemas.microsoft.com/office/2017/10/relationships/person" Target="/xl/persons/person.xml" Id="R0b5c89f87edf4e15" /></Relationships>
</file>

<file path=xl/persons/person.xml><?xml version="1.0" encoding="utf-8"?>
<xltc:personList xmlns:xltc="http://schemas.microsoft.com/office/spreadsheetml/2018/threadedcomments">
  <xltc:person displayName="Comment" id="{00000000-0000-0000-0000-000000000001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8bf4f9afeda462a" /><Relationship Type="http://schemas.openxmlformats.org/officeDocument/2006/relationships/vmlDrawing" Target="/xl/drawings/vmldrawing.vml" Id="Ra2d3315ce5b546e7" /></Relationships>
</file>

<file path=xl/worksheets/sheet1.xml><?xml version="1.0" encoding="utf-8"?>
<x:worksheet xmlns:x="http://schemas.openxmlformats.org/spreadsheetml/2006/main">
  <x:sheetPr>
    <x:tabColor rgb="FF2E6DE4"/>
  </x:sheetPr>
  <x:sheetViews>
    <x:sheetView showGridLines="0" workbookViewId="0"/>
  </x:sheetViews>
  <x:sheetFormatPr defaultColWidth="14.430000305175781" defaultRowHeight="15"/>
  <x:cols>
    <x:col min="1" max="1" width="3" customWidth="1"/>
    <x:col min="2" max="2" width="26" customWidth="1"/>
    <x:col min="3" max="3" width="24" customWidth="1"/>
    <x:col min="4" max="6" width="22" customWidth="1"/>
    <x:col min="7" max="7" width="20" customWidth="1"/>
    <x:col min="8" max="26" width="8.710000038146973" customWidth="1"/>
  </x:cols>
  <x:sheetData>
    <x:row r="2" ht="30" customHeight="1">
      <x:c r="B2" s="2" t="s">
        <x:v>0</x:v>
      </x:c>
      <x:c r="C2" s="3"/>
      <x:c r="D2" s="3"/>
      <x:c r="E2" s="3"/>
      <x:c r="F2" s="3"/>
      <x:c r="G2" s="4"/>
    </x:row>
    <x:row r="3">
      <x:c r="B3" s="6" t="s">
        <x:v>1</x:v>
      </x:c>
    </x:row>
    <x:row r="5">
      <x:c r="B5" s="9" t="s">
        <x:v>2</x:v>
      </x:c>
      <x:c r="C5" s="11"/>
      <x:c r="D5" s="13"/>
    </x:row>
    <x:row r="6">
      <x:c r="B6" s="5" t="s">
        <x:v>3</x:v>
      </x:c>
      <x:c r="C6" s="17" t="s">
        <x:v>4</x:v>
      </x:c>
      <x:c r="D6" s="13"/>
    </x:row>
    <x:row r="7">
      <x:c r="B7" s="5" t="s">
        <x:v>5</x:v>
      </x:c>
      <x:c r="C7" s="17" t="s">
        <x:v>6</x:v>
      </x:c>
      <x:c r="D7" s="13"/>
    </x:row>
    <x:row r="8">
      <x:c r="B8" s="5" t="s">
        <x:v>7</x:v>
      </x:c>
      <x:c r="C8" s="167" t="n">
        <x:v>46251</x:v>
      </x:c>
      <x:c r="D8" s="13"/>
      <x:c r="E8" s="22" t="s">
        <x:v>8</x:v>
      </x:c>
    </x:row>
    <x:row r="9">
      <x:c r="B9" s="25" t="s">
        <x:v>9</x:v>
      </x:c>
      <x:c r="C9" s="167" t="n">
        <x:v>46616</x:v>
      </x:c>
      <x:c r="D9" s="13"/>
      <x:c r="E9" s="22" t="s">
        <x:v>10</x:v>
      </x:c>
    </x:row>
    <x:row r="10">
      <x:c r="B10" s="16"/>
    </x:row>
    <x:row r="11">
      <x:c r="B11" s="34" t="s">
        <x:v>11</x:v>
      </x:c>
      <x:c r="C11" s="11"/>
      <x:c r="D11" s="11"/>
      <x:c r="E11" s="11"/>
      <x:c r="F11" s="11"/>
      <x:c r="G11" s="13"/>
    </x:row>
    <x:row r="12">
      <x:c r="B12" s="36" t="s">
        <x:v>12</x:v>
      </x:c>
      <x:c r="C12" s="36" t="s">
        <x:v>13</x:v>
      </x:c>
      <x:c r="D12" s="36" t="s">
        <x:v>14</x:v>
      </x:c>
      <x:c r="E12" s="36" t="s">
        <x:v>15</x:v>
      </x:c>
      <x:c r="F12" s="36" t="s">
        <x:v>16</x:v>
      </x:c>
      <x:c r="G12" s="36" t="s">
        <x:v>17</x:v>
      </x:c>
    </x:row>
    <x:row r="13" ht="33.75" customHeight="1">
      <x:c r="B13" s="41" t="n">
        <x:f>IF(OR(C8="",C9="",C9&lt;=C8),"—",ROUNDUP(MAX(0,C9-TODAY())/7,0))</x:f>
        <x:v>52</x:v>
      </x:c>
      <x:c r="C13" s="43" t="str">
        <x:f>IF(OR(C8="",C9="",C9&lt;=C8),"—",TEXT(IF(TODAY()&lt;C8,0,IF(TODAY()&gt;=C9,MAX(1,(((YEAR(C9)-YEAR(C8))*12+MONTH(C9)-MONTH(C8))+IF(C9&gt;EDATE(C8,((YEAR(C9)-YEAR(C8))*12+MONTH(C9)-MONTH(C8))),1,0))),MIN(MAX(1,(((YEAR(C9)-YEAR(C8))*12+MONTH(C9)-MONTH(C8))+IF(C9&gt;EDATE(C8,((YEAR(C9)-YEAR(C8))*12+MONTH(C9)-MONTH(C8))),1,0))),MAX(1,(((YEAR(TODAY())-YEAR(C8))*12+MONTH(TODAY())-MONTH(C8))+IF(TODAY()&gt;=EDATE(C8,((YEAR(TODAY())-YEAR(C8))*12+MONTH(TODAY())-MONTH(C8))),1,0)))))),"0")&amp;" / "&amp;TEXT(MAX(1,(((YEAR(C9)-YEAR(C8))*12+MONTH(C9)-MONTH(C8))+IF(C9&gt;EDATE(C8,((YEAR(C9)-YEAR(C8))*12+MONTH(C9)-MONTH(C8))),1,0))),"0"))</x:f>
        <x:v>1 / 12</x:v>
      </x:c>
      <x:c r="D13" s="46" t="n">
        <x:f>IF(OR(C8="",C9="",C9&lt;=C8),0,MIN(1,MAX(0,(TODAY()-C8)/(C9-C8))))</x:f>
        <x:v>0.0027397260273972603</x:v>
      </x:c>
      <x:c r="E13" s="47" t="n">
        <x:f>IF(COUNTA('3 · Status Tracking'!A7:A16)=0,0,COUNTIF('3 · Status Tracking'!B7:B16,"Done")/COUNTA('3 · Status Tracking'!A7:A16))</x:f>
        <x:v>0</x:v>
      </x:c>
      <x:c r="F13" s="49" t="n">
        <x:f>COUNTIF('3 · Status Tracking'!B7:B16,"Doing")</x:f>
        <x:v>2</x:v>
      </x:c>
      <x:c r="G13" s="51" t="n">
        <x:f>COUNTIF('3 · Status Tracking'!B7:B16,"Blocked")</x:f>
        <x:v>0</x:v>
      </x:c>
    </x:row>
    <x:row r="15">
      <x:c r="B15" s="53" t="s">
        <x:v>18</x:v>
      </x:c>
      <x:c r="C15" s="59" t="str">
        <x:f>REPT("█",ROUND(IF(OR(C8="",C9="",C9&lt;=C8),0,MIN(1,MAX(0,(TODAY()-C8)/(C9-C8))))*24,0))&amp;REPT("░",24-ROUND(IF(OR(C8="",C9="",C9&lt;=C8),0,MIN(1,MAX(0,(TODAY()-C8)/(C9-C8))))*24,0))&amp;"  ⛰"</x:f>
        <x:v>░░░░░░░░░░░░░░░░░░░░░░░░  ⛰</x:v>
      </x:c>
      <x:c r="D15" s="11"/>
      <x:c r="E15" s="11"/>
      <x:c r="F15" s="11"/>
      <x:c r="G15" s="13"/>
    </x:row>
    <x:row r="16">
      <x:c r="B16" s="16"/>
    </x:row>
    <x:row r="17">
      <x:c r="B17" s="34" t="s">
        <x:v>19</x:v>
      </x:c>
      <x:c r="C17" s="11"/>
      <x:c r="D17" s="11"/>
      <x:c r="E17" s="11"/>
      <x:c r="F17" s="11"/>
      <x:c r="G17" s="13"/>
    </x:row>
    <x:row r="18">
      <x:c r="B18" s="55"/>
      <x:c r="C18" s="64" t="s">
        <x:v>20</x:v>
      </x:c>
      <x:c r="D18" s="13"/>
    </x:row>
    <x:row r="19">
      <x:c r="B19" s="63"/>
      <x:c r="C19" s="65" t="s">
        <x:v>21</x:v>
      </x:c>
      <x:c r="D19" s="13"/>
    </x:row>
    <x:row r="20">
      <x:c r="B20" s="67"/>
      <x:c r="C20" s="68" t="s">
        <x:v>22</x:v>
      </x:c>
      <x:c r="D20" s="13"/>
    </x:row>
    <x:row r="21" ht="15.75" customHeight="1">
      <x:c r="B21" s="70"/>
      <x:c r="C21" s="72" t="s">
        <x:v>23</x:v>
      </x:c>
      <x:c r="D21" s="13"/>
    </x:row>
    <x:row r="22" ht="15.75" customHeight="1">
      <x:c r="B22" s="73" t="s">
        <x:v>24</x:v>
      </x:c>
      <x:c r="C22" s="74" t="s">
        <x:v>25</x:v>
      </x:c>
      <x:c r="D22" s="11"/>
      <x:c r="E22" s="11"/>
      <x:c r="F22" s="11"/>
      <x:c r="G22" s="13"/>
    </x:row>
    <x:row r="23" ht="15.75" customHeight="1"/>
    <x:row r="24" ht="15.75" customHeight="1">
      <x:c r="B24" s="9" t="s">
        <x:v>26</x:v>
      </x:c>
      <x:c r="C24" s="11"/>
      <x:c r="D24" s="11"/>
      <x:c r="E24" s="11"/>
      <x:c r="F24" s="11"/>
      <x:c r="G24" s="13"/>
    </x:row>
    <x:row r="25" ht="25.5" customHeight="1">
      <x:c r="B25" s="77" t="s">
        <x:v>27</x:v>
      </x:c>
      <x:c r="C25" s="11"/>
      <x:c r="D25" s="11"/>
      <x:c r="E25" s="11"/>
      <x:c r="F25" s="11"/>
      <x:c r="G25" s="13"/>
    </x:row>
    <x:row r="26" ht="25.5" customHeight="1">
      <x:c r="B26" s="77" t="s">
        <x:v>28</x:v>
      </x:c>
      <x:c r="C26" s="11"/>
      <x:c r="D26" s="11"/>
      <x:c r="E26" s="11"/>
      <x:c r="F26" s="11"/>
      <x:c r="G26" s="13"/>
    </x:row>
    <x:row r="27" ht="25.5" customHeight="1">
      <x:c r="B27" s="77" t="str">
        <x:v>3.  Tab 2 · Timeline — month columns roll from Start date and stop at Target finish; projects longer than 12 months show the first 12 months.</x:v>
      </x:c>
      <x:c r="C27" s="11"/>
      <x:c r="D27" s="11"/>
      <x:c r="E27" s="11"/>
      <x:c r="F27" s="11"/>
      <x:c r="G27" s="13"/>
    </x:row>
    <x:row r="28" ht="25.5" customHeight="1">
      <x:c r="B28" s="77" t="s">
        <x:v>29</x:v>
      </x:c>
      <x:c r="C28" s="11"/>
      <x:c r="D28" s="11"/>
      <x:c r="E28" s="11"/>
      <x:c r="F28" s="11"/>
      <x:c r="G28" s="13"/>
    </x:row>
    <x:row r="29" ht="15.75" customHeight="1"/>
    <x:row r="30" ht="15.75" customHeight="1">
      <x:c r="B30" s="10" t="s">
        <x:v>30</x:v>
      </x:c>
      <x:c r="C30" s="80" t="s">
        <x:v>31</x:v>
      </x:c>
    </x:row>
    <x:row r="31" ht="15.75" customHeight="1">
      <x:c r="B31" s="82" t="s">
        <x:v>32</x:v>
      </x:c>
    </x:row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B2:G2"/>
    <x:mergeCell ref="B5:D5"/>
    <x:mergeCell ref="C6:D6"/>
    <x:mergeCell ref="C7:D7"/>
    <x:mergeCell ref="C8:D8"/>
    <x:mergeCell ref="C9:D9"/>
    <x:mergeCell ref="B11:G11"/>
    <x:mergeCell ref="B24:G24"/>
    <x:mergeCell ref="B25:G25"/>
    <x:mergeCell ref="B26:G26"/>
    <x:mergeCell ref="B27:G27"/>
    <x:mergeCell ref="B28:G28"/>
    <x:mergeCell ref="C30:E30"/>
    <x:mergeCell ref="B31:G31"/>
    <x:mergeCell ref="C15:G15"/>
    <x:mergeCell ref="B17:G17"/>
    <x:mergeCell ref="C18:D18"/>
    <x:mergeCell ref="C19:D19"/>
    <x:mergeCell ref="C20:D20"/>
    <x:mergeCell ref="C21:D21"/>
    <x:mergeCell ref="C22:G22"/>
  </x:mergeCells>
  <x:conditionalFormatting sqref="B13:B13">
    <x:cfRule type="cellIs" dxfId="4" priority="1" operator="lessThanOrEqual">
      <x:formula>4</x:formula>
    </x:cfRule>
  </x:conditionalFormatting>
  <x:pageMargins left="0.7" right="0.7" top="0.75" bottom="0.75" header="0.3" footer="0.3"/>
  <x:legacyDrawing xmlns:r="http://schemas.openxmlformats.org/officeDocument/2006/relationships" r:id="Ra2d3315ce5b546e7"/>
</x:worksheet>
</file>

<file path=xl/worksheets/sheet2.xml><?xml version="1.0" encoding="utf-8"?>
<x:worksheet xmlns:x="http://schemas.openxmlformats.org/spreadsheetml/2006/main">
  <x:sheetPr>
    <x:tabColor rgb="FF2E6DE4"/>
  </x:sheetPr>
  <x:sheetViews>
    <x:sheetView showGridLines="0" workbookViewId="0"/>
  </x:sheetViews>
  <x:sheetFormatPr defaultColWidth="14.430000305175781" defaultRowHeight="15"/>
  <x:cols>
    <x:col min="1" max="1" width="40" customWidth="1"/>
    <x:col min="2" max="3" width="56" customWidth="1"/>
    <x:col min="4" max="26" width="8.710000038146973" customWidth="1"/>
  </x:cols>
  <x:sheetData>
    <x:row r="1" ht="27.75" customHeight="1">
      <x:c r="A1" s="1" t="s">
        <x:v>33</x:v>
      </x:c>
      <x:c r="B1" s="3"/>
      <x:c r="C1" s="4"/>
    </x:row>
    <x:row r="2">
      <x:c r="A2" s="12" t="s">
        <x:v>34</x:v>
      </x:c>
      <x:c r="B2" s="14" t="s">
        <x:v>35</x:v>
      </x:c>
      <x:c r="C2" s="7" t="s">
        <x:v>6</x:v>
      </x:c>
    </x:row>
    <x:row r="3">
      <x:c r="A3" s="12" t="s">
        <x:v>36</x:v>
      </x:c>
      <x:c r="B3" s="164" t="n">
        <x:f>TODAY()</x:f>
        <x:v>46252</x:v>
      </x:c>
      <x:c r="C3" s="7" t="s">
        <x:v>37</x:v>
      </x:c>
    </x:row>
    <x:row r="4">
      <x:c r="A4" s="12" t="s">
        <x:v>38</x:v>
      </x:c>
      <x:c r="B4" s="14" t="s">
        <x:v>39</x:v>
      </x:c>
      <x:c r="C4" s="7" t="s">
        <x:v>40</x:v>
      </x:c>
    </x:row>
    <x:row r="5" ht="6" customHeight="1">
      <x:c r="A5" s="16"/>
    </x:row>
    <x:row r="6">
      <x:c r="A6" s="21" t="s">
        <x:v>41</x:v>
      </x:c>
      <x:c r="B6" s="24" t="s">
        <x:v>42</x:v>
      </x:c>
      <x:c r="C6" s="21" t="s">
        <x:v>43</x:v>
      </x:c>
    </x:row>
    <x:row r="7" ht="30" customHeight="1">
      <x:c r="A7" s="27" t="s">
        <x:v>44</x:v>
      </x:c>
      <x:c r="B7" s="30" t="s">
        <x:v>45</x:v>
      </x:c>
      <x:c r="C7" s="31"/>
    </x:row>
    <x:row r="8" ht="54" customHeight="1">
      <x:c r="A8" s="27" t="s">
        <x:v>46</x:v>
      </x:c>
      <x:c r="B8" s="30" t="s">
        <x:v>47</x:v>
      </x:c>
      <x:c r="C8" s="31"/>
    </x:row>
    <x:row r="9" ht="30" customHeight="1">
      <x:c r="A9" s="27" t="s">
        <x:v>48</x:v>
      </x:c>
      <x:c r="B9" s="30" t="s">
        <x:v>49</x:v>
      </x:c>
      <x:c r="C9" s="31"/>
    </x:row>
    <x:row r="10" ht="30" customHeight="1">
      <x:c r="A10" s="27" t="s">
        <x:v>50</x:v>
      </x:c>
      <x:c r="B10" s="30" t="s">
        <x:v>51</x:v>
      </x:c>
      <x:c r="C10" s="31"/>
    </x:row>
    <x:row r="11" ht="30" customHeight="1">
      <x:c r="A11" s="27" t="s">
        <x:v>52</x:v>
      </x:c>
      <x:c r="B11" s="30" t="s">
        <x:v>53</x:v>
      </x:c>
      <x:c r="C11" s="31"/>
    </x:row>
    <x:row r="12" ht="30" customHeight="1">
      <x:c r="A12" s="27" t="s">
        <x:v>54</x:v>
      </x:c>
      <x:c r="B12" s="30" t="s">
        <x:v>55</x:v>
      </x:c>
      <x:c r="C12" s="31"/>
    </x:row>
    <x:row r="13" ht="54" customHeight="1">
      <x:c r="A13" s="27" t="s">
        <x:v>56</x:v>
      </x:c>
      <x:c r="B13" s="30" t="s">
        <x:v>57</x:v>
      </x:c>
      <x:c r="C13" s="31"/>
    </x:row>
    <x:row r="14" ht="30" customHeight="1">
      <x:c r="A14" s="27" t="s">
        <x:v>58</x:v>
      </x:c>
      <x:c r="B14" s="30" t="s">
        <x:v>59</x:v>
      </x:c>
      <x:c r="C14" s="31"/>
    </x:row>
    <x:row r="15" ht="30" customHeight="1">
      <x:c r="A15" s="37" t="s">
        <x:v>60</x:v>
      </x:c>
      <x:c r="B15" s="30" t="s">
        <x:v>61</x:v>
      </x:c>
      <x:c r="C15" s="31"/>
    </x:row>
    <x:row r="16" ht="54" customHeight="1">
      <x:c r="A16" s="39" t="s">
        <x:v>62</x:v>
      </x:c>
      <x:c r="B16" s="30" t="s">
        <x:v>63</x:v>
      </x:c>
      <x:c r="C16" s="31"/>
    </x:row>
    <x:row r="17" ht="30" customHeight="1">
      <x:c r="A17" s="27" t="s">
        <x:v>64</x:v>
      </x:c>
      <x:c r="B17" s="30" t="s">
        <x:v>65</x:v>
      </x:c>
      <x:c r="C17" s="31"/>
    </x:row>
    <x:row r="18" ht="30" customHeight="1">
      <x:c r="A18" s="27" t="s">
        <x:v>66</x:v>
      </x:c>
      <x:c r="B18" s="30" t="s">
        <x:v>67</x:v>
      </x:c>
      <x:c r="C18" s="31"/>
    </x:row>
    <x:row r="19" ht="30" customHeight="1">
      <x:c r="A19" s="27" t="s">
        <x:v>68</x:v>
      </x:c>
      <x:c r="B19" s="30" t="s">
        <x:v>69</x:v>
      </x:c>
      <x:c r="C19" s="31"/>
    </x:row>
    <x:row r="20" ht="30" customHeight="1">
      <x:c r="A20" s="40" t="s">
        <x:v>70</x:v>
      </x:c>
      <x:c r="B20" s="42" t="str">
        <x:f>IF(TRIM(C16)="","⚠ FRAGILE — fill 'Impact if NEGATIVE'. A null result must still teach something.","✓ Robust — a null result still produces a contribution.")</x:f>
        <x:v>⚠ FRAGILE — fill 'Impact if NEGATIVE'. A null result must still teach something.</x:v>
      </x:c>
      <x:c r="C20" s="13"/>
    </x:row>
    <x:row r="21" ht="15.75" customHeight="1"/>
    <x:row r="22" ht="45.75" customHeight="1">
      <x:c r="A22" s="45" t="s">
        <x:v>71</x:v>
      </x:c>
    </x:row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C1"/>
    <x:mergeCell ref="B20:C20"/>
    <x:mergeCell ref="A22:C22"/>
  </x:mergeCells>
  <x:conditionalFormatting sqref="B20:B20">
    <x:cfRule type="expression" dxfId="0" priority="1">
      <x:formula>ISNUMBER(SEARCH("FRAGILE",B20))</x:formula>
    </x:cfRule>
  </x:conditionalFormatting>
  <x:conditionalFormatting sqref="B20:B20">
    <x:cfRule type="expression" dxfId="1" priority="2">
      <x:formula>ISNUMBER(SEARCH("Robust",B20))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E6DE4"/>
  </x:sheetPr>
  <x:sheetViews>
    <x:sheetView showGridLines="0" workbookViewId="0"/>
  </x:sheetViews>
  <x:sheetFormatPr defaultColWidth="14.430000305175781" defaultRowHeight="15"/>
  <x:cols>
    <x:col min="1" max="1" width="36" customWidth="1"/>
    <x:col min="2" max="2" width="12" customWidth="1"/>
    <x:col min="3" max="3" width="16" customWidth="1"/>
    <x:col min="4" max="4" width="11" customWidth="1"/>
    <x:col min="5" max="5" width="12" customWidth="1"/>
    <x:col min="6" max="17" width="5.429999828338623" customWidth="1"/>
    <x:col min="18" max="26" width="8.710000038146973" customWidth="1"/>
  </x:cols>
  <x:sheetData>
    <x:row r="1" ht="27.75" customHeight="1">
      <x:c r="A1" s="1" t="str">
        <x:v>⛰  Timeline  ·  monthly planning window from your project dates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4"/>
    </x:row>
    <x:row r="2">
      <x:c r="A2" s="10" t="s">
        <x:v>72</x:v>
      </x:c>
    </x:row>
    <x:row r="3">
      <x:c r="A3" s="15" t="str">
        <x:v>Project dates + monthly window →</x:v>
      </x:c>
      <x:c r="B3" s="11"/>
      <x:c r="C3" s="11"/>
      <x:c r="D3" s="11"/>
      <x:c r="E3" s="13"/>
      <x:c r="F3" s="26" t="str">
        <x:f>IF(OR(Dashboard!$C$8="",Dashboard!$C$9="",Dashboard!$C$9&lt;=Dashboard!$C$8),"Set valid Start / Finish dates",TEXT(Dashboard!$C$8,"mmm d, yyyy")&amp;" → "&amp;TEXT(Dashboard!$C$9,"mmm d, yyyy")&amp;IF(Dashboard!$C$9&gt;EDATE(Dashboard!$C$8,12),"  ·  first 12 months shown",""))</x:f>
        <x:v>Aug 17, 2026 → Aug 17, 2027</x:v>
      </x:c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3"/>
    </x:row>
    <x:row r="4">
      <x:c r="A4" s="33" t="s">
        <x:v>73</x:v>
      </x:c>
      <x:c r="B4" s="33" t="s">
        <x:v>34</x:v>
      </x:c>
      <x:c r="C4" s="33" t="s">
        <x:v>74</x:v>
      </x:c>
      <x:c r="D4" s="33" t="s">
        <x:v>75</x:v>
      </x:c>
      <x:c r="E4" s="33" t="s">
        <x:v>76</x:v>
      </x:c>
      <x:c r="F4" s="168" t="n">
        <x:f>IF(OR(Dashboard!$C$8="",Dashboard!$C$9="",Dashboard!$C$9&lt;=Dashboard!$C$8),"",IF(EDATE(Dashboard!$C$8,0)&lt;Dashboard!$C$9,EDATE(Dashboard!$C$8,0),""))</x:f>
        <x:v>46251</x:v>
      </x:c>
      <x:c r="G4" s="168" t="n">
        <x:f>IF(OR(Dashboard!$C$8="",Dashboard!$C$9="",Dashboard!$C$9&lt;=Dashboard!$C$8),"",IF(EDATE(Dashboard!$C$8,1)&lt;Dashboard!$C$9,EDATE(Dashboard!$C$8,1),""))</x:f>
        <x:v>46282</x:v>
      </x:c>
      <x:c r="H4" s="168" t="n">
        <x:f>IF(OR(Dashboard!$C$8="",Dashboard!$C$9="",Dashboard!$C$9&lt;=Dashboard!$C$8),"",IF(EDATE(Dashboard!$C$8,2)&lt;Dashboard!$C$9,EDATE(Dashboard!$C$8,2),""))</x:f>
        <x:v>46312</x:v>
      </x:c>
      <x:c r="I4" s="168" t="n">
        <x:f>IF(OR(Dashboard!$C$8="",Dashboard!$C$9="",Dashboard!$C$9&lt;=Dashboard!$C$8),"",IF(EDATE(Dashboard!$C$8,3)&lt;Dashboard!$C$9,EDATE(Dashboard!$C$8,3),""))</x:f>
        <x:v>46343</x:v>
      </x:c>
      <x:c r="J4" s="168" t="n">
        <x:f>IF(OR(Dashboard!$C$8="",Dashboard!$C$9="",Dashboard!$C$9&lt;=Dashboard!$C$8),"",IF(EDATE(Dashboard!$C$8,4)&lt;Dashboard!$C$9,EDATE(Dashboard!$C$8,4),""))</x:f>
        <x:v>46373</x:v>
      </x:c>
      <x:c r="K4" s="168" t="n">
        <x:f>IF(OR(Dashboard!$C$8="",Dashboard!$C$9="",Dashboard!$C$9&lt;=Dashboard!$C$8),"",IF(EDATE(Dashboard!$C$8,5)&lt;Dashboard!$C$9,EDATE(Dashboard!$C$8,5),""))</x:f>
        <x:v>46404</x:v>
      </x:c>
      <x:c r="L4" s="168" t="n">
        <x:f>IF(OR(Dashboard!$C$8="",Dashboard!$C$9="",Dashboard!$C$9&lt;=Dashboard!$C$8),"",IF(EDATE(Dashboard!$C$8,6)&lt;Dashboard!$C$9,EDATE(Dashboard!$C$8,6),""))</x:f>
        <x:v>46435</x:v>
      </x:c>
      <x:c r="M4" s="168" t="n">
        <x:f>IF(OR(Dashboard!$C$8="",Dashboard!$C$9="",Dashboard!$C$9&lt;=Dashboard!$C$8),"",IF(EDATE(Dashboard!$C$8,7)&lt;Dashboard!$C$9,EDATE(Dashboard!$C$8,7),""))</x:f>
        <x:v>46463</x:v>
      </x:c>
      <x:c r="N4" s="168" t="n">
        <x:f>IF(OR(Dashboard!$C$8="",Dashboard!$C$9="",Dashboard!$C$9&lt;=Dashboard!$C$8),"",IF(EDATE(Dashboard!$C$8,8)&lt;Dashboard!$C$9,EDATE(Dashboard!$C$8,8),""))</x:f>
        <x:v>46494</x:v>
      </x:c>
      <x:c r="O4" s="168" t="n">
        <x:f>IF(OR(Dashboard!$C$8="",Dashboard!$C$9="",Dashboard!$C$9&lt;=Dashboard!$C$8),"",IF(EDATE(Dashboard!$C$8,9)&lt;Dashboard!$C$9,EDATE(Dashboard!$C$8,9),""))</x:f>
        <x:v>46524</x:v>
      </x:c>
      <x:c r="P4" s="168" t="n">
        <x:f>IF(OR(Dashboard!$C$8="",Dashboard!$C$9="",Dashboard!$C$9&lt;=Dashboard!$C$8),"",IF(EDATE(Dashboard!$C$8,10)&lt;Dashboard!$C$9,EDATE(Dashboard!$C$8,10),""))</x:f>
        <x:v>46555</x:v>
      </x:c>
      <x:c r="Q4" s="168" t="n">
        <x:f>IF(OR(Dashboard!$C$8="",Dashboard!$C$9="",Dashboard!$C$9&lt;=Dashboard!$C$8),"",IF(EDATE(Dashboard!$C$8,11)&lt;Dashboard!$C$9,EDATE(Dashboard!$C$8,11),""))</x:f>
        <x:v>46585</x:v>
      </x:c>
    </x:row>
    <x:row r="5">
      <x:c r="A5" s="48" t="s">
        <x:v>77</x:v>
      </x:c>
      <x:c r="B5" s="50"/>
      <x:c r="C5" s="50"/>
      <x:c r="D5" s="50"/>
      <x:c r="E5" s="50"/>
      <x:c r="F5" s="52" t="str">
        <x:f>IF(F4="","","M1")</x:f>
        <x:v>M1</x:v>
      </x:c>
      <x:c r="G5" s="52" t="str">
        <x:f>IF(G4="","","M2")</x:f>
        <x:v>M2</x:v>
      </x:c>
      <x:c r="H5" s="52" t="str">
        <x:f>IF(H4="","","M3")</x:f>
        <x:v>M3</x:v>
      </x:c>
      <x:c r="I5" s="52" t="str">
        <x:f>IF(I4="","","M4")</x:f>
        <x:v>M4</x:v>
      </x:c>
      <x:c r="J5" s="52" t="str">
        <x:f>IF(J4="","","M5")</x:f>
        <x:v>M5</x:v>
      </x:c>
      <x:c r="K5" s="52" t="str">
        <x:f>IF(K4="","","M6")</x:f>
        <x:v>M6</x:v>
      </x:c>
      <x:c r="L5" s="52" t="str">
        <x:f>IF(L4="","","M7")</x:f>
        <x:v>M7</x:v>
      </x:c>
      <x:c r="M5" s="52" t="str">
        <x:f>IF(M4="","","M8")</x:f>
        <x:v>M8</x:v>
      </x:c>
      <x:c r="N5" s="52" t="str">
        <x:f>IF(N4="","","M9")</x:f>
        <x:v>M9</x:v>
      </x:c>
      <x:c r="O5" s="52" t="str">
        <x:f>IF(O4="","","M10")</x:f>
        <x:v>M10</x:v>
      </x:c>
      <x:c r="P5" s="52" t="str">
        <x:f>IF(P4="","","M11")</x:f>
        <x:v>M11</x:v>
      </x:c>
      <x:c r="Q5" s="52" t="str">
        <x:f>IF(Q4="","","M12")</x:f>
        <x:v>M12</x:v>
      </x:c>
    </x:row>
    <x:row r="6">
      <x:c r="A6" s="54" t="s">
        <x:v>78</x:v>
      </x:c>
      <x:c r="B6" s="55"/>
      <x:c r="C6" s="55"/>
      <x:c r="D6" s="55"/>
      <x:c r="E6" s="55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 t="s">
        <x:v>79</x:v>
      </x:c>
      <x:c r="B7" s="56" t="s">
        <x:v>80</x:v>
      </x:c>
      <x:c r="C7" s="56" t="s">
        <x:v>81</x:v>
      </x:c>
      <x:c r="D7" s="32">
        <x:v>2.0</x:v>
      </x:c>
      <x:c r="E7" s="57" t="s">
        <x:v>82</x:v>
      </x:c>
      <x:c r="F7" s="58" t="s">
        <x:v>83</x:v>
      </x:c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 t="s">
        <x:v>84</x:v>
      </x:c>
      <x:c r="B8" s="56" t="s">
        <x:v>83</x:v>
      </x:c>
      <x:c r="C8" s="56" t="s">
        <x:v>85</x:v>
      </x:c>
      <x:c r="D8" s="32">
        <x:v>0.0</x:v>
      </x:c>
      <x:c r="E8" s="57" t="s">
        <x:v>82</x:v>
      </x:c>
      <x:c r="F8" s="28"/>
      <x:c r="G8" s="60" t="s">
        <x:v>86</x:v>
      </x:c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 t="s">
        <x:v>87</x:v>
      </x:c>
      <x:c r="B9" s="56" t="s">
        <x:v>80</x:v>
      </x:c>
      <x:c r="C9" s="56" t="s">
        <x:v>84</x:v>
      </x:c>
      <x:c r="D9" s="32">
        <x:v>3.0</x:v>
      </x:c>
      <x:c r="E9" s="57" t="s">
        <x:v>88</x:v>
      </x:c>
      <x:c r="F9" s="28"/>
      <x:c r="G9" s="61"/>
      <x:c r="H9" s="61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62" t="s">
        <x:v>89</x:v>
      </x:c>
      <x:c r="B10" s="63"/>
      <x:c r="C10" s="63"/>
      <x:c r="D10" s="63"/>
      <x:c r="E10" s="63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  <x:row r="11">
      <x:c r="A11" s="28" t="s">
        <x:v>90</x:v>
      </x:c>
      <x:c r="B11" s="56" t="s">
        <x:v>80</x:v>
      </x:c>
      <x:c r="C11" s="56" t="s">
        <x:v>91</x:v>
      </x:c>
      <x:c r="D11" s="32">
        <x:v>3.0</x:v>
      </x:c>
      <x:c r="E11" s="57" t="s">
        <x:v>88</x:v>
      </x:c>
      <x:c r="F11" s="28"/>
      <x:c r="G11" s="66"/>
      <x:c r="H11" s="66"/>
      <x:c r="I11" s="66"/>
      <x:c r="J11" s="66"/>
      <x:c r="K11" s="66"/>
      <x:c r="L11" s="28"/>
      <x:c r="M11" s="28"/>
      <x:c r="N11" s="28"/>
      <x:c r="O11" s="28"/>
      <x:c r="P11" s="28"/>
      <x:c r="Q11" s="28"/>
    </x:row>
    <x:row r="12">
      <x:c r="A12" s="28" t="s">
        <x:v>92</x:v>
      </x:c>
      <x:c r="B12" s="56" t="s">
        <x:v>93</x:v>
      </x:c>
      <x:c r="C12" s="56" t="s">
        <x:v>94</x:v>
      </x:c>
      <x:c r="D12" s="32">
        <x:v>0.0</x:v>
      </x:c>
      <x:c r="E12" s="57" t="s">
        <x:v>95</x:v>
      </x:c>
      <x:c r="F12" s="28"/>
      <x:c r="G12" s="28"/>
      <x:c r="H12" s="28"/>
      <x:c r="I12" s="28"/>
      <x:c r="J12" s="69" t="s">
        <x:v>96</x:v>
      </x:c>
      <x:c r="K12" s="28"/>
      <x:c r="L12" s="28"/>
      <x:c r="M12" s="28"/>
      <x:c r="N12" s="28"/>
      <x:c r="O12" s="28"/>
      <x:c r="P12" s="28"/>
      <x:c r="Q12" s="28"/>
    </x:row>
    <x:row r="13">
      <x:c r="A13" s="71" t="s">
        <x:v>97</x:v>
      </x:c>
      <x:c r="B13" s="67"/>
      <x:c r="C13" s="67"/>
      <x:c r="D13" s="67"/>
      <x:c r="E13" s="67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</x:row>
    <x:row r="14">
      <x:c r="A14" s="28" t="s">
        <x:v>98</x:v>
      </x:c>
      <x:c r="B14" s="56" t="s">
        <x:v>80</x:v>
      </x:c>
      <x:c r="C14" s="56" t="s">
        <x:v>99</x:v>
      </x:c>
      <x:c r="D14" s="32">
        <x:v>2.0</x:v>
      </x:c>
      <x:c r="E14" s="57" t="s">
        <x:v>88</x:v>
      </x:c>
      <x:c r="F14" s="28"/>
      <x:c r="G14" s="28"/>
      <x:c r="H14" s="28"/>
      <x:c r="I14" s="28"/>
      <x:c r="J14" s="28"/>
      <x:c r="K14" s="28"/>
      <x:c r="L14" s="75"/>
      <x:c r="M14" s="75"/>
      <x:c r="N14" s="75"/>
      <x:c r="O14" s="28"/>
      <x:c r="P14" s="28"/>
      <x:c r="Q14" s="28"/>
    </x:row>
    <x:row r="15">
      <x:c r="A15" s="76" t="s">
        <x:v>100</x:v>
      </x:c>
      <x:c r="B15" s="70"/>
      <x:c r="C15" s="70"/>
      <x:c r="D15" s="70"/>
      <x:c r="E15" s="70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</x:row>
    <x:row r="16">
      <x:c r="A16" s="28" t="s">
        <x:v>101</x:v>
      </x:c>
      <x:c r="B16" s="56" t="s">
        <x:v>80</x:v>
      </x:c>
      <x:c r="C16" s="56" t="s">
        <x:v>102</x:v>
      </x:c>
      <x:c r="D16" s="32">
        <x:v>3.0</x:v>
      </x:c>
      <x:c r="E16" s="57" t="s">
        <x:v>103</x:v>
      </x:c>
      <x:c r="F16" s="28"/>
      <x:c r="G16" s="28"/>
      <x:c r="H16" s="28"/>
      <x:c r="I16" s="28"/>
      <x:c r="J16" s="28"/>
      <x:c r="K16" s="28"/>
      <x:c r="L16" s="28"/>
      <x:c r="M16" s="28"/>
      <x:c r="N16" s="78"/>
      <x:c r="O16" s="78"/>
      <x:c r="P16" s="78"/>
      <x:c r="Q16" s="28"/>
    </x:row>
    <x:row r="17">
      <x:c r="A17" s="28" t="s">
        <x:v>104</x:v>
      </x:c>
      <x:c r="B17" s="56" t="s">
        <x:v>105</x:v>
      </x:c>
      <x:c r="C17" s="56" t="s">
        <x:v>106</x:v>
      </x:c>
      <x:c r="D17" s="32">
        <x:v>0.0</x:v>
      </x:c>
      <x:c r="E17" s="57" t="s">
        <x:v>103</x:v>
      </x:c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69" t="s">
        <x:v>86</x:v>
      </x:c>
    </x:row>
    <x:row r="18">
      <x:c r="E18" s="79"/>
    </x:row>
    <x:row r="19">
      <x:c r="A19" s="81" t="s">
        <x:v>107</x:v>
      </x:c>
      <x:c r="E19" s="79"/>
    </x:row>
    <x:row r="20">
      <x:c r="A20" s="55"/>
      <x:c r="B20" s="74" t="s">
        <x:v>108</x:v>
      </x:c>
      <x:c r="C20" s="11"/>
      <x:c r="D20" s="11"/>
      <x:c r="E20" s="13"/>
    </x:row>
    <x:row r="21" ht="15.75" customHeight="1">
      <x:c r="A21" s="63"/>
      <x:c r="B21" s="74" t="s">
        <x:v>109</x:v>
      </x:c>
      <x:c r="C21" s="11"/>
      <x:c r="D21" s="11"/>
      <x:c r="E21" s="13"/>
    </x:row>
    <x:row r="22" ht="15.75" customHeight="1">
      <x:c r="A22" s="67"/>
      <x:c r="B22" s="74" t="s">
        <x:v>110</x:v>
      </x:c>
      <x:c r="C22" s="11"/>
      <x:c r="D22" s="11"/>
      <x:c r="E22" s="13"/>
    </x:row>
    <x:row r="23" ht="15.75" customHeight="1">
      <x:c r="A23" s="70"/>
      <x:c r="B23" s="74" t="s">
        <x:v>111</x:v>
      </x:c>
      <x:c r="C23" s="11"/>
      <x:c r="D23" s="11"/>
      <x:c r="E23" s="13"/>
    </x:row>
    <x:row r="24" ht="15.75" customHeight="1">
      <x:c r="A24" s="73" t="s">
        <x:v>112</x:v>
      </x:c>
      <x:c r="B24" s="74" t="s">
        <x:v>113</x:v>
      </x:c>
      <x:c r="C24" s="11"/>
      <x:c r="D24" s="11"/>
      <x:c r="E24" s="11"/>
      <x:c r="F24" s="11"/>
      <x:c r="G24" s="11"/>
      <x:c r="H24" s="11"/>
      <x:c r="I24" s="11"/>
      <x:c r="J24" s="11"/>
      <x:c r="K24" s="11"/>
      <x:c r="L24" s="11"/>
      <x:c r="M24" s="11"/>
      <x:c r="N24" s="11"/>
      <x:c r="O24" s="11"/>
      <x:c r="P24" s="11"/>
      <x:c r="Q24" s="13"/>
    </x:row>
    <x:row r="25" ht="15.75" customHeight="1">
      <x:c r="E25" s="79"/>
    </x:row>
    <x:row r="26" ht="15.75" customHeight="1">
      <x:c r="A26" s="10" t="s">
        <x:v>114</x:v>
      </x:c>
    </x:row>
    <x:row r="27" ht="15.75" customHeight="1">
      <x:c r="A27" s="15" t="str">
        <x:v>Project dates + monthly window →</x:v>
      </x:c>
      <x:c r="B27" s="11"/>
      <x:c r="C27" s="11"/>
      <x:c r="D27" s="11"/>
      <x:c r="E27" s="13"/>
      <x:c r="F27" s="26" t="str">
        <x:f>IF(OR(Dashboard!$C$8="",Dashboard!$C$9="",Dashboard!$C$9&lt;=Dashboard!$C$8),"Set valid Start / Finish dates",TEXT(Dashboard!$C$8,"mmm d, yyyy")&amp;" → "&amp;TEXT(Dashboard!$C$9,"mmm d, yyyy")&amp;IF(Dashboard!$C$9&gt;EDATE(Dashboard!$C$8,12),"  ·  first 12 months shown",""))</x:f>
        <x:v>Aug 17, 2026 → Aug 17, 2027</x:v>
      </x:c>
      <x:c r="G27" s="11"/>
      <x:c r="H27" s="11"/>
      <x:c r="I27" s="11"/>
      <x:c r="J27" s="11"/>
      <x:c r="K27" s="11"/>
      <x:c r="L27" s="11"/>
      <x:c r="M27" s="11"/>
      <x:c r="N27" s="11"/>
      <x:c r="O27" s="11"/>
      <x:c r="P27" s="11"/>
      <x:c r="Q27" s="13"/>
    </x:row>
    <x:row r="28" ht="15.75" customHeight="1">
      <x:c r="A28" s="33" t="s">
        <x:v>73</x:v>
      </x:c>
      <x:c r="B28" s="33" t="s">
        <x:v>34</x:v>
      </x:c>
      <x:c r="C28" s="33" t="s">
        <x:v>74</x:v>
      </x:c>
      <x:c r="D28" s="33" t="s">
        <x:v>75</x:v>
      </x:c>
      <x:c r="E28" s="33" t="s">
        <x:v>76</x:v>
      </x:c>
      <x:c r="F28" s="168" t="n">
        <x:f>IF(OR(Dashboard!$C$8="",Dashboard!$C$9="",Dashboard!$C$9&lt;=Dashboard!$C$8),"",IF(EDATE(Dashboard!$C$8,0)&lt;Dashboard!$C$9,EDATE(Dashboard!$C$8,0),""))</x:f>
        <x:v>46251</x:v>
      </x:c>
      <x:c r="G28" s="168" t="n">
        <x:f>IF(OR(Dashboard!$C$8="",Dashboard!$C$9="",Dashboard!$C$9&lt;=Dashboard!$C$8),"",IF(EDATE(Dashboard!$C$8,1)&lt;Dashboard!$C$9,EDATE(Dashboard!$C$8,1),""))</x:f>
        <x:v>46282</x:v>
      </x:c>
      <x:c r="H28" s="168" t="n">
        <x:f>IF(OR(Dashboard!$C$8="",Dashboard!$C$9="",Dashboard!$C$9&lt;=Dashboard!$C$8),"",IF(EDATE(Dashboard!$C$8,2)&lt;Dashboard!$C$9,EDATE(Dashboard!$C$8,2),""))</x:f>
        <x:v>46312</x:v>
      </x:c>
      <x:c r="I28" s="168" t="n">
        <x:f>IF(OR(Dashboard!$C$8="",Dashboard!$C$9="",Dashboard!$C$9&lt;=Dashboard!$C$8),"",IF(EDATE(Dashboard!$C$8,3)&lt;Dashboard!$C$9,EDATE(Dashboard!$C$8,3),""))</x:f>
        <x:v>46343</x:v>
      </x:c>
      <x:c r="J28" s="168" t="n">
        <x:f>IF(OR(Dashboard!$C$8="",Dashboard!$C$9="",Dashboard!$C$9&lt;=Dashboard!$C$8),"",IF(EDATE(Dashboard!$C$8,4)&lt;Dashboard!$C$9,EDATE(Dashboard!$C$8,4),""))</x:f>
        <x:v>46373</x:v>
      </x:c>
      <x:c r="K28" s="168" t="n">
        <x:f>IF(OR(Dashboard!$C$8="",Dashboard!$C$9="",Dashboard!$C$9&lt;=Dashboard!$C$8),"",IF(EDATE(Dashboard!$C$8,5)&lt;Dashboard!$C$9,EDATE(Dashboard!$C$8,5),""))</x:f>
        <x:v>46404</x:v>
      </x:c>
      <x:c r="L28" s="168" t="n">
        <x:f>IF(OR(Dashboard!$C$8="",Dashboard!$C$9="",Dashboard!$C$9&lt;=Dashboard!$C$8),"",IF(EDATE(Dashboard!$C$8,6)&lt;Dashboard!$C$9,EDATE(Dashboard!$C$8,6),""))</x:f>
        <x:v>46435</x:v>
      </x:c>
      <x:c r="M28" s="168" t="n">
        <x:f>IF(OR(Dashboard!$C$8="",Dashboard!$C$9="",Dashboard!$C$9&lt;=Dashboard!$C$8),"",IF(EDATE(Dashboard!$C$8,7)&lt;Dashboard!$C$9,EDATE(Dashboard!$C$8,7),""))</x:f>
        <x:v>46463</x:v>
      </x:c>
      <x:c r="N28" s="168" t="n">
        <x:f>IF(OR(Dashboard!$C$8="",Dashboard!$C$9="",Dashboard!$C$9&lt;=Dashboard!$C$8),"",IF(EDATE(Dashboard!$C$8,8)&lt;Dashboard!$C$9,EDATE(Dashboard!$C$8,8),""))</x:f>
        <x:v>46494</x:v>
      </x:c>
      <x:c r="O28" s="168" t="n">
        <x:f>IF(OR(Dashboard!$C$8="",Dashboard!$C$9="",Dashboard!$C$9&lt;=Dashboard!$C$8),"",IF(EDATE(Dashboard!$C$8,9)&lt;Dashboard!$C$9,EDATE(Dashboard!$C$8,9),""))</x:f>
        <x:v>46524</x:v>
      </x:c>
      <x:c r="P28" s="168" t="n">
        <x:f>IF(OR(Dashboard!$C$8="",Dashboard!$C$9="",Dashboard!$C$9&lt;=Dashboard!$C$8),"",IF(EDATE(Dashboard!$C$8,10)&lt;Dashboard!$C$9,EDATE(Dashboard!$C$8,10),""))</x:f>
        <x:v>46555</x:v>
      </x:c>
      <x:c r="Q28" s="168" t="n">
        <x:f>IF(OR(Dashboard!$C$8="",Dashboard!$C$9="",Dashboard!$C$9&lt;=Dashboard!$C$8),"",IF(EDATE(Dashboard!$C$8,11)&lt;Dashboard!$C$9,EDATE(Dashboard!$C$8,11),""))</x:f>
        <x:v>46585</x:v>
      </x:c>
    </x:row>
    <x:row r="29" ht="15.75" customHeight="1">
      <x:c r="A29" s="48" t="s">
        <x:v>77</x:v>
      </x:c>
      <x:c r="B29" s="50"/>
      <x:c r="C29" s="50"/>
      <x:c r="D29" s="50"/>
      <x:c r="E29" s="50"/>
      <x:c r="F29" s="52" t="str">
        <x:f>IF(F28="","","M1")</x:f>
        <x:v>M1</x:v>
      </x:c>
      <x:c r="G29" s="52" t="str">
        <x:f>IF(G28="","","M2")</x:f>
        <x:v>M2</x:v>
      </x:c>
      <x:c r="H29" s="52" t="str">
        <x:f>IF(H28="","","M3")</x:f>
        <x:v>M3</x:v>
      </x:c>
      <x:c r="I29" s="52" t="str">
        <x:f>IF(I28="","","M4")</x:f>
        <x:v>M4</x:v>
      </x:c>
      <x:c r="J29" s="52" t="str">
        <x:f>IF(J28="","","M5")</x:f>
        <x:v>M5</x:v>
      </x:c>
      <x:c r="K29" s="52" t="str">
        <x:f>IF(K28="","","M6")</x:f>
        <x:v>M6</x:v>
      </x:c>
      <x:c r="L29" s="52" t="str">
        <x:f>IF(L28="","","M7")</x:f>
        <x:v>M7</x:v>
      </x:c>
      <x:c r="M29" s="52" t="str">
        <x:f>IF(M28="","","M8")</x:f>
        <x:v>M8</x:v>
      </x:c>
      <x:c r="N29" s="52" t="str">
        <x:f>IF(N28="","","M9")</x:f>
        <x:v>M9</x:v>
      </x:c>
      <x:c r="O29" s="52" t="str">
        <x:f>IF(O28="","","M10")</x:f>
        <x:v>M10</x:v>
      </x:c>
      <x:c r="P29" s="52" t="str">
        <x:f>IF(P28="","","M11")</x:f>
        <x:v>M11</x:v>
      </x:c>
      <x:c r="Q29" s="52" t="str">
        <x:f>IF(Q28="","","M12")</x:f>
        <x:v>M12</x:v>
      </x:c>
    </x:row>
    <x:row r="30" ht="15.75" customHeight="1">
      <x:c r="A30" s="54" t="s">
        <x:v>78</x:v>
      </x:c>
      <x:c r="B30" s="55"/>
      <x:c r="C30" s="55"/>
      <x:c r="D30" s="55"/>
      <x:c r="E30" s="55"/>
      <x:c r="F30" s="61"/>
      <x:c r="G30" s="61"/>
      <x:c r="H30" s="61"/>
      <x:c r="I30" s="61"/>
      <x:c r="J30" s="61"/>
      <x:c r="K30" s="61"/>
      <x:c r="L30" s="61"/>
      <x:c r="M30" s="61"/>
      <x:c r="N30" s="61"/>
      <x:c r="O30" s="61"/>
      <x:c r="P30" s="61"/>
      <x:c r="Q30" s="61"/>
    </x:row>
    <x:row r="31" ht="15.75" customHeight="1">
      <x:c r="A31" s="28"/>
      <x:c r="B31" s="56"/>
      <x:c r="C31" s="56"/>
      <x:c r="D31" s="32"/>
      <x:c r="E31" s="57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</x:row>
    <x:row r="32" ht="15.75" customHeight="1">
      <x:c r="A32" s="28"/>
      <x:c r="B32" s="56"/>
      <x:c r="C32" s="56"/>
      <x:c r="D32" s="32"/>
      <x:c r="E32" s="57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</x:row>
    <x:row r="33" ht="15.75" customHeight="1">
      <x:c r="A33" s="62" t="s">
        <x:v>89</x:v>
      </x:c>
      <x:c r="B33" s="63"/>
      <x:c r="C33" s="63"/>
      <x:c r="D33" s="63"/>
      <x:c r="E33" s="63"/>
      <x:c r="F33" s="66"/>
      <x:c r="G33" s="66"/>
      <x:c r="H33" s="66"/>
      <x:c r="I33" s="66"/>
      <x:c r="J33" s="66"/>
      <x:c r="K33" s="66"/>
      <x:c r="L33" s="66"/>
      <x:c r="M33" s="66"/>
      <x:c r="N33" s="66"/>
      <x:c r="O33" s="66"/>
      <x:c r="P33" s="66"/>
      <x:c r="Q33" s="66"/>
    </x:row>
    <x:row r="34" ht="15.75" customHeight="1">
      <x:c r="A34" s="28"/>
      <x:c r="B34" s="56"/>
      <x:c r="C34" s="56"/>
      <x:c r="D34" s="32"/>
      <x:c r="E34" s="57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</x:row>
    <x:row r="35" ht="15.75" customHeight="1">
      <x:c r="A35" s="28"/>
      <x:c r="B35" s="56"/>
      <x:c r="C35" s="56"/>
      <x:c r="D35" s="32"/>
      <x:c r="E35" s="57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</x:row>
    <x:row r="36" ht="15.75" customHeight="1">
      <x:c r="A36" s="71" t="s">
        <x:v>97</x:v>
      </x:c>
      <x:c r="B36" s="67"/>
      <x:c r="C36" s="67"/>
      <x:c r="D36" s="67"/>
      <x:c r="E36" s="67"/>
      <x:c r="F36" s="75"/>
      <x:c r="G36" s="75"/>
      <x:c r="H36" s="75"/>
      <x:c r="I36" s="75"/>
      <x:c r="J36" s="75"/>
      <x:c r="K36" s="75"/>
      <x:c r="L36" s="75"/>
      <x:c r="M36" s="75"/>
      <x:c r="N36" s="75"/>
      <x:c r="O36" s="75"/>
      <x:c r="P36" s="75"/>
      <x:c r="Q36" s="75"/>
    </x:row>
    <x:row r="37" ht="15.75" customHeight="1">
      <x:c r="A37" s="28"/>
      <x:c r="B37" s="56"/>
      <x:c r="C37" s="56"/>
      <x:c r="D37" s="32"/>
      <x:c r="E37" s="57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</x:row>
    <x:row r="38" ht="15.75" customHeight="1">
      <x:c r="A38" s="28"/>
      <x:c r="B38" s="56"/>
      <x:c r="C38" s="56"/>
      <x:c r="D38" s="32"/>
      <x:c r="E38" s="57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</x:row>
    <x:row r="39" ht="15.75" customHeight="1">
      <x:c r="A39" s="76" t="s">
        <x:v>100</x:v>
      </x:c>
      <x:c r="B39" s="70"/>
      <x:c r="C39" s="70"/>
      <x:c r="D39" s="70"/>
      <x:c r="E39" s="70"/>
      <x:c r="F39" s="78"/>
      <x:c r="G39" s="78"/>
      <x:c r="H39" s="78"/>
      <x:c r="I39" s="78"/>
      <x:c r="J39" s="78"/>
      <x:c r="K39" s="78"/>
      <x:c r="L39" s="78"/>
      <x:c r="M39" s="78"/>
      <x:c r="N39" s="78"/>
      <x:c r="O39" s="78"/>
      <x:c r="P39" s="78"/>
      <x:c r="Q39" s="78"/>
    </x:row>
    <x:row r="40" ht="15.75" customHeight="1">
      <x:c r="A40" s="28"/>
      <x:c r="B40" s="56"/>
      <x:c r="C40" s="56"/>
      <x:c r="D40" s="32"/>
      <x:c r="E40" s="57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</x:row>
    <x:row r="41" ht="15.75" customHeight="1">
      <x:c r="A41" s="28"/>
      <x:c r="B41" s="56"/>
      <x:c r="C41" s="56"/>
      <x:c r="D41" s="32"/>
      <x:c r="E41" s="57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</x:row>
    <x:row r="42" ht="15.75" customHeight="1">
      <x:c r="A42" s="83" t="s">
        <x:v>115</x:v>
      </x:c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</x:row>
    <x:row r="43" ht="15.75" customHeight="1">
      <x:c r="E43" s="79"/>
    </x:row>
    <x:row r="44" ht="15.75" customHeight="1">
      <x:c r="A44" s="81" t="s">
        <x:v>107</x:v>
      </x:c>
      <x:c r="E44" s="79"/>
    </x:row>
    <x:row r="45" ht="15.75" customHeight="1">
      <x:c r="A45" s="55"/>
      <x:c r="B45" s="74" t="s">
        <x:v>108</x:v>
      </x:c>
      <x:c r="C45" s="11"/>
      <x:c r="D45" s="11"/>
      <x:c r="E45" s="13"/>
    </x:row>
    <x:row r="46" ht="15.75" customHeight="1">
      <x:c r="A46" s="63"/>
      <x:c r="B46" s="74" t="s">
        <x:v>109</x:v>
      </x:c>
      <x:c r="C46" s="11"/>
      <x:c r="D46" s="11"/>
      <x:c r="E46" s="13"/>
    </x:row>
    <x:row r="47" ht="15.75" customHeight="1">
      <x:c r="A47" s="67"/>
      <x:c r="B47" s="74" t="s">
        <x:v>110</x:v>
      </x:c>
      <x:c r="C47" s="11"/>
      <x:c r="D47" s="11"/>
      <x:c r="E47" s="13"/>
    </x:row>
    <x:row r="48" ht="15.75" customHeight="1">
      <x:c r="A48" s="70"/>
      <x:c r="B48" s="74" t="s">
        <x:v>111</x:v>
      </x:c>
      <x:c r="C48" s="11"/>
      <x:c r="D48" s="11"/>
      <x:c r="E48" s="13"/>
    </x:row>
    <x:row r="49" ht="15.75" customHeight="1">
      <x:c r="A49" s="73" t="s">
        <x:v>112</x:v>
      </x:c>
      <x:c r="B49" s="74" t="s">
        <x:v>113</x:v>
      </x:c>
      <x:c r="C49" s="11"/>
      <x:c r="D49" s="11"/>
      <x:c r="E49" s="11"/>
      <x:c r="F49" s="11"/>
      <x:c r="G49" s="11"/>
      <x:c r="H49" s="11"/>
      <x:c r="I49" s="11"/>
      <x:c r="J49" s="11"/>
      <x:c r="K49" s="11"/>
      <x:c r="L49" s="11"/>
      <x:c r="M49" s="11"/>
      <x:c r="N49" s="11"/>
      <x:c r="O49" s="11"/>
      <x:c r="P49" s="11"/>
      <x:c r="Q49" s="13"/>
    </x:row>
    <x:row r="50" ht="15.75" customHeight="1">
      <x:c r="E50" s="79"/>
    </x:row>
    <x:row r="51" ht="15.75" customHeight="1">
      <x:c r="E51" s="79"/>
    </x:row>
    <x:row r="52" ht="15.75" customHeight="1">
      <x:c r="E52" s="79"/>
    </x:row>
    <x:row r="53" ht="15.75" customHeight="1">
      <x:c r="E53" s="79"/>
    </x:row>
    <x:row r="54" ht="15.75" customHeight="1">
      <x:c r="E54" s="79"/>
    </x:row>
    <x:row r="55" ht="15.75" customHeight="1">
      <x:c r="E55" s="79"/>
    </x:row>
    <x:row r="56" ht="15.75" customHeight="1">
      <x:c r="E56" s="79"/>
    </x:row>
    <x:row r="57" ht="15.75" customHeight="1">
      <x:c r="E57" s="79"/>
    </x:row>
    <x:row r="58" ht="15.75" customHeight="1">
      <x:c r="E58" s="79"/>
    </x:row>
    <x:row r="59" ht="15.75" customHeight="1">
      <x:c r="E59" s="79"/>
    </x:row>
    <x:row r="60" ht="15.75" customHeight="1">
      <x:c r="E60" s="79"/>
    </x:row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Q1"/>
    <x:mergeCell ref="A2:Q2"/>
    <x:mergeCell ref="A3:E3"/>
    <x:mergeCell ref="F3:Q3"/>
    <x:mergeCell ref="B20:E20"/>
    <x:mergeCell ref="B21:E21"/>
    <x:mergeCell ref="B22:E22"/>
    <x:mergeCell ref="B47:E47"/>
    <x:mergeCell ref="B48:E48"/>
    <x:mergeCell ref="B49:Q49"/>
    <x:mergeCell ref="B23:E23"/>
    <x:mergeCell ref="B24:Q24"/>
    <x:mergeCell ref="A26:Q26"/>
    <x:mergeCell ref="A27:E27"/>
    <x:mergeCell ref="F27:Q27"/>
    <x:mergeCell ref="B45:E45"/>
    <x:mergeCell ref="B46:E46"/>
  </x:mergeCells>
  <x:dataValidations count="1">
    <x:dataValidation type="list" allowBlank="1" sqref="E5:E19 E25 E28:E44 E50:E60">
      <x:formula1>"milestone,task,decision,deadline"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E6DE4"/>
  </x:sheetPr>
  <x:sheetViews>
    <x:sheetView showGridLines="0" workbookViewId="0"/>
  </x:sheetViews>
  <x:sheetFormatPr defaultColWidth="14.430000305175781" defaultRowHeight="15"/>
  <x:cols>
    <x:col min="1" max="1" width="40" customWidth="1"/>
    <x:col min="2" max="2" width="14" customWidth="1"/>
    <x:col min="3" max="3" width="12" customWidth="1"/>
    <x:col min="4" max="4" width="40" customWidth="1"/>
    <x:col min="5" max="5" width="30" customWidth="1"/>
    <x:col min="6" max="6" width="4" customWidth="1"/>
    <x:col min="7" max="7" width="34" customWidth="1"/>
    <x:col min="8" max="26" width="8.710000038146973" customWidth="1"/>
  </x:cols>
  <x:sheetData>
    <x:row r="1" ht="27.75" customHeight="1">
      <x:c r="A1" s="1" t="s">
        <x:v>116</x:v>
      </x:c>
      <x:c r="B1" s="3"/>
      <x:c r="C1" s="3"/>
      <x:c r="D1" s="3"/>
      <x:c r="E1" s="3"/>
      <x:c r="F1" s="3"/>
      <x:c r="G1" s="4"/>
    </x:row>
    <x:row r="2">
      <x:c r="A2" s="5" t="s">
        <x:v>117</x:v>
      </x:c>
      <x:c r="B2" s="7" t="s">
        <x:v>6</x:v>
      </x:c>
      <x:c r="C2" s="8" t="s">
        <x:v>118</x:v>
      </x:c>
      <x:c r="D2" s="164" t="n">
        <x:f>TODAY()</x:f>
        <x:v>46252</x:v>
      </x:c>
      <x:c r="E2" s="16"/>
    </x:row>
    <x:row r="3" ht="6" customHeight="1">
      <x:c r="A3" s="16"/>
    </x:row>
    <x:row r="4">
      <x:c r="A4" s="18" t="s">
        <x:v>119</x:v>
      </x:c>
      <x:c r="B4" s="11"/>
      <x:c r="C4" s="11"/>
      <x:c r="D4" s="11"/>
      <x:c r="E4" s="13"/>
    </x:row>
    <x:row r="5">
      <x:c r="F5" s="19" t="s">
        <x:v>120</x:v>
      </x:c>
      <x:c r="G5" s="23" t="n">
        <x:f>COUNTIF(B7:B16,"Doing")</x:f>
        <x:v>2</x:v>
      </x:c>
    </x:row>
    <x:row r="6">
      <x:c r="A6" s="21" t="s">
        <x:v>121</x:v>
      </x:c>
      <x:c r="B6" s="21" t="s">
        <x:v>122</x:v>
      </x:c>
      <x:c r="C6" s="21" t="s">
        <x:v>123</x:v>
      </x:c>
      <x:c r="D6" s="21" t="s">
        <x:v>124</x:v>
      </x:c>
      <x:c r="E6" s="21" t="s">
        <x:v>125</x:v>
      </x:c>
    </x:row>
    <x:row r="7" ht="24" customHeight="1">
      <x:c r="A7" s="28" t="s">
        <x:v>126</x:v>
      </x:c>
      <x:c r="B7" s="32" t="s">
        <x:v>127</x:v>
      </x:c>
      <x:c r="C7" s="32" t="s">
        <x:v>128</x:v>
      </x:c>
      <x:c r="D7" s="35" t="s">
        <x:v>129</x:v>
      </x:c>
      <x:c r="E7" s="35" t="s">
        <x:v>130</x:v>
      </x:c>
    </x:row>
    <x:row r="8" ht="24" customHeight="1">
      <x:c r="A8" s="28" t="s">
        <x:v>131</x:v>
      </x:c>
      <x:c r="B8" s="32" t="s">
        <x:v>127</x:v>
      </x:c>
      <x:c r="C8" s="32" t="s">
        <x:v>128</x:v>
      </x:c>
      <x:c r="D8" s="35" t="s">
        <x:v>132</x:v>
      </x:c>
      <x:c r="E8" s="35"/>
    </x:row>
    <x:row r="9" ht="24" customHeight="1">
      <x:c r="A9" s="28" t="s">
        <x:v>133</x:v>
      </x:c>
      <x:c r="B9" s="32" t="s">
        <x:v>134</x:v>
      </x:c>
      <x:c r="C9" s="32" t="s">
        <x:v>135</x:v>
      </x:c>
      <x:c r="D9" s="35" t="s">
        <x:v>136</x:v>
      </x:c>
      <x:c r="E9" s="35"/>
    </x:row>
    <x:row r="10" ht="24" customHeight="1">
      <x:c r="A10" s="28"/>
      <x:c r="B10" s="32"/>
      <x:c r="C10" s="32"/>
      <x:c r="D10" s="35"/>
      <x:c r="E10" s="35"/>
    </x:row>
    <x:row r="11" ht="24" customHeight="1">
      <x:c r="A11" s="28"/>
      <x:c r="B11" s="32"/>
      <x:c r="C11" s="32"/>
      <x:c r="D11" s="35"/>
      <x:c r="E11" s="35"/>
    </x:row>
    <x:row r="12" ht="24" customHeight="1">
      <x:c r="A12" s="28"/>
      <x:c r="B12" s="32"/>
      <x:c r="C12" s="32"/>
      <x:c r="D12" s="35"/>
      <x:c r="E12" s="35"/>
    </x:row>
    <x:row r="13" ht="24" customHeight="1">
      <x:c r="A13" s="28"/>
      <x:c r="B13" s="32"/>
      <x:c r="C13" s="32"/>
      <x:c r="D13" s="35"/>
      <x:c r="E13" s="35"/>
    </x:row>
    <x:row r="14" ht="24" customHeight="1">
      <x:c r="A14" s="28"/>
      <x:c r="B14" s="32"/>
      <x:c r="C14" s="32"/>
      <x:c r="D14" s="35"/>
      <x:c r="E14" s="35"/>
    </x:row>
    <x:row r="15" ht="24" customHeight="1">
      <x:c r="A15" s="28"/>
      <x:c r="B15" s="32"/>
      <x:c r="C15" s="32"/>
      <x:c r="D15" s="35"/>
      <x:c r="E15" s="35"/>
    </x:row>
    <x:row r="16" ht="24" customHeight="1">
      <x:c r="A16" s="28"/>
      <x:c r="B16" s="32"/>
      <x:c r="C16" s="32"/>
      <x:c r="D16" s="35"/>
      <x:c r="E16" s="35"/>
    </x:row>
    <x:row r="18">
      <x:c r="A18" s="18" t="s">
        <x:v>137</x:v>
      </x:c>
      <x:c r="B18" s="11"/>
      <x:c r="C18" s="11"/>
      <x:c r="D18" s="11"/>
      <x:c r="E18" s="11"/>
      <x:c r="F18" s="11"/>
      <x:c r="G18" s="13"/>
    </x:row>
    <x:row r="19">
      <x:c r="A19" s="33" t="s">
        <x:v>138</x:v>
      </x:c>
      <x:c r="B19" s="33" t="s">
        <x:v>139</x:v>
      </x:c>
      <x:c r="C19" s="33" t="s">
        <x:v>140</x:v>
      </x:c>
      <x:c r="D19" s="33" t="s">
        <x:v>141</x:v>
      </x:c>
      <x:c r="E19" s="33" t="s">
        <x:v>142</x:v>
      </x:c>
      <x:c r="F19" s="33" t="s">
        <x:v>143</x:v>
      </x:c>
      <x:c r="G19" s="33" t="s">
        <x:v>144</x:v>
      </x:c>
    </x:row>
    <x:row r="20" ht="24" customHeight="1">
      <x:c r="A20" s="166" t="n">
        <x:v>46213</x:v>
      </x:c>
      <x:c r="B20" s="30" t="s">
        <x:v>145</x:v>
      </x:c>
      <x:c r="C20" s="30" t="s">
        <x:v>146</x:v>
      </x:c>
      <x:c r="D20" s="30" t="s">
        <x:v>147</x:v>
      </x:c>
      <x:c r="E20" s="30" t="s">
        <x:v>148</x:v>
      </x:c>
      <x:c r="F20" s="30" t="s">
        <x:v>149</x:v>
      </x:c>
      <x:c r="G20" s="30" t="s">
        <x:v>150</x:v>
      </x:c>
    </x:row>
    <x:row r="21" ht="24" customHeight="1">
      <x:c r="A21" s="44"/>
      <x:c r="B21" s="44"/>
      <x:c r="C21" s="44"/>
      <x:c r="D21" s="44"/>
      <x:c r="E21" s="44"/>
      <x:c r="F21" s="44"/>
      <x:c r="G21" s="44"/>
    </x:row>
    <x:row r="22" ht="24" customHeight="1">
      <x:c r="A22" s="44"/>
      <x:c r="B22" s="44"/>
      <x:c r="C22" s="44"/>
      <x:c r="D22" s="44"/>
      <x:c r="E22" s="44"/>
      <x:c r="F22" s="44"/>
      <x:c r="G22" s="44"/>
    </x:row>
    <x:row r="23" ht="24" customHeight="1">
      <x:c r="A23" s="44"/>
      <x:c r="B23" s="44"/>
      <x:c r="C23" s="44"/>
      <x:c r="D23" s="44"/>
      <x:c r="E23" s="44"/>
      <x:c r="F23" s="44"/>
      <x:c r="G23" s="44"/>
    </x:row>
    <x:row r="24" ht="24" customHeight="1">
      <x:c r="A24" s="44"/>
      <x:c r="B24" s="44"/>
      <x:c r="C24" s="44"/>
      <x:c r="D24" s="44"/>
      <x:c r="E24" s="44"/>
      <x:c r="F24" s="44"/>
      <x:c r="G24" s="44"/>
    </x:row>
    <x:row r="25" ht="24" customHeight="1">
      <x:c r="A25" s="44"/>
      <x:c r="B25" s="44"/>
      <x:c r="C25" s="44"/>
      <x:c r="D25" s="44"/>
      <x:c r="E25" s="44"/>
      <x:c r="F25" s="44"/>
      <x:c r="G25" s="44"/>
    </x:row>
    <x:row r="26" ht="24" customHeight="1">
      <x:c r="A26" s="44"/>
      <x:c r="B26" s="44"/>
      <x:c r="C26" s="44"/>
      <x:c r="D26" s="44"/>
      <x:c r="E26" s="44"/>
      <x:c r="F26" s="44"/>
      <x:c r="G26" s="44"/>
    </x:row>
    <x:row r="27" ht="24" customHeight="1">
      <x:c r="A27" s="44"/>
      <x:c r="B27" s="44"/>
      <x:c r="C27" s="44"/>
      <x:c r="D27" s="44"/>
      <x:c r="E27" s="44"/>
      <x:c r="F27" s="44"/>
      <x:c r="G27" s="44"/>
    </x:row>
    <x:row r="28" ht="24" customHeight="1">
      <x:c r="A28" s="44"/>
      <x:c r="B28" s="44"/>
      <x:c r="C28" s="44"/>
      <x:c r="D28" s="44"/>
      <x:c r="E28" s="44"/>
      <x:c r="F28" s="44"/>
      <x:c r="G28" s="44"/>
    </x:row>
    <x:row r="29" ht="24" customHeight="1">
      <x:c r="A29" s="44"/>
      <x:c r="B29" s="44"/>
      <x:c r="C29" s="44"/>
      <x:c r="D29" s="44"/>
      <x:c r="E29" s="44"/>
      <x:c r="F29" s="44"/>
      <x:c r="G29" s="44"/>
    </x:row>
    <x:row r="30" ht="24" customHeight="1">
      <x:c r="A30" s="44"/>
      <x:c r="B30" s="44"/>
      <x:c r="C30" s="44"/>
      <x:c r="D30" s="44"/>
      <x:c r="E30" s="44"/>
      <x:c r="F30" s="44"/>
      <x:c r="G30" s="44"/>
    </x:row>
    <x:row r="31" ht="15.75" customHeight="1"/>
    <x:row r="32" ht="31.5" customHeight="1">
      <x:c r="A32" s="45" t="s">
        <x:v>151</x:v>
      </x:c>
    </x:row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G1"/>
    <x:mergeCell ref="A3:G3"/>
    <x:mergeCell ref="A4:E4"/>
    <x:mergeCell ref="A18:G18"/>
    <x:mergeCell ref="A32:G32"/>
  </x:mergeCells>
  <x:conditionalFormatting sqref="B7:B16">
    <x:cfRule type="cellIs" dxfId="2" priority="1" operator="equal">
      <x:formula>"Doing"</x:formula>
    </x:cfRule>
  </x:conditionalFormatting>
  <x:conditionalFormatting sqref="B7:B16">
    <x:cfRule type="cellIs" dxfId="1" priority="2" operator="equal">
      <x:formula>"Done"</x:formula>
    </x:cfRule>
  </x:conditionalFormatting>
  <x:conditionalFormatting sqref="B7:B16">
    <x:cfRule type="cellIs" dxfId="0" priority="3" operator="equal">
      <x:formula>"Blocked"</x:formula>
    </x:cfRule>
  </x:conditionalFormatting>
  <x:conditionalFormatting sqref="B7:B16">
    <x:cfRule type="cellIs" dxfId="3" priority="4" operator="equal">
      <x:formula>"Backlog"</x:formula>
    </x:cfRule>
  </x:conditionalFormatting>
  <x:conditionalFormatting sqref="C7:C16">
    <x:cfRule type="cellIs" dxfId="0" priority="5" operator="equal">
      <x:formula>"High"</x:formula>
    </x:cfRule>
  </x:conditionalFormatting>
  <x:conditionalFormatting sqref="C7:C16">
    <x:cfRule type="cellIs" dxfId="2" priority="6" operator="equal">
      <x:formula>"Med"</x:formula>
    </x:cfRule>
  </x:conditionalFormatting>
  <x:conditionalFormatting sqref="C7:C16">
    <x:cfRule type="cellIs" dxfId="3" priority="7" operator="equal">
      <x:formula>"Low"</x:formula>
    </x:cfRule>
  </x:conditionalFormatting>
  <x:dataValidations count="2">
    <x:dataValidation type="list" allowBlank="1" sqref="B7:B16">
      <x:formula1>"Backlog,Doing,Done,Blocked"</x:formula1>
    </x:dataValidation>
    <x:dataValidation type="list" allowBlank="1" sqref="C7:C16">
      <x:formula1>"High,Med,Low"</x:formula1>
    </x:dataValidation>
  </x:dataValidations>
  <x:pageMargins left="0.7" right="0.7" top="0.75" bottom="0.75" header="0.3" footer="0.3"/>
</x:worksheet>
</file>